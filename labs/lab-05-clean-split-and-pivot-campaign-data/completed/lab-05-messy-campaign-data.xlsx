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" sheetId="1" state="visible" r:id="rId3"/>
    <sheet name="Campaign Export" sheetId="2" state="visible" r:id="rId4"/>
    <sheet name="Control" sheetId="3" state="visible" r:id="rId5"/>
    <sheet name="Completed Summary" sheetId="4" state="visible" r:id="rId6"/>
  </sheets>
  <definedNames>
    <definedName function="false" hidden="true" localSheetId="1" name="_xlnm._FilterDatabase" vbProcedure="false">'Campaign Export'!$A$4:$Q$64</definedName>
    <definedName function="false" hidden="true" localSheetId="3" name="_xlnm._FilterDatabase" vbProcedure="false">'Completed Summary'!$A$1:$C$10</definedName>
    <definedName function="false" hidden="true" localSheetId="2" name="_xlnm._FilterDatabase" vbProcedure="false">Control!$A$1:$B$3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<sst xmlns="http://schemas.openxmlformats.org/spreadsheetml/2006/main" count="308" uniqueCount="143">
  <si>
    <t xml:space="preserve">Data Visualisation with Tableau</t>
  </si>
  <si>
    <t xml:space="preserve">Lab 5: Clean, Split and Pivot Campaign Data</t>
  </si>
  <si>
    <t xml:space="preserve">Course Code</t>
  </si>
  <si>
    <t xml:space="preserve">TGS-2020503177</t>
  </si>
  <si>
    <t xml:space="preserve">Alignment</t>
  </si>
  <si>
    <t xml:space="preserve">LO3 · K4 · A3</t>
  </si>
  <si>
    <t xml:space="preserve">Business scenario</t>
  </si>
  <si>
    <t xml:space="preserve">A campaign export contains banner rows, compound location codes and monthly measures spread across columns.</t>
  </si>
  <si>
    <t xml:space="preserve">Expected output</t>
  </si>
  <si>
    <t xml:space="preserve">An analysis-ready long table with clean location fields and documented transformation checks.</t>
  </si>
  <si>
    <t xml:space="preserve">Acceptance test</t>
  </si>
  <si>
    <t xml:space="preserve">The transformed data has one row per campaign-month, clean location fields, no blank campaign key and reconciled spend totals.</t>
  </si>
  <si>
    <t xml:space="preserve">Synthetic data</t>
  </si>
  <si>
    <t xml:space="preserve">All organisations, people and transactions are fictional and generated for training.</t>
  </si>
  <si>
    <t xml:space="preserve">Meridian Retail SG Campaign Performance Export</t>
  </si>
  <si>
    <t xml:space="preserve">Generated for training</t>
  </si>
  <si>
    <t xml:space="preserve">Do not use as real operational data</t>
  </si>
  <si>
    <t xml:space="preserve">Campaign Key</t>
  </si>
  <si>
    <t xml:space="preserve">Campaign Name </t>
  </si>
  <si>
    <t xml:space="preserve">Location Code</t>
  </si>
  <si>
    <t xml:space="preserve">Owner</t>
  </si>
  <si>
    <t xml:space="preserve">Jan 2025 Spend</t>
  </si>
  <si>
    <t xml:space="preserve">Feb 2025 Spend</t>
  </si>
  <si>
    <t xml:space="preserve">Mar 2025 Spend</t>
  </si>
  <si>
    <t xml:space="preserve">Apr 2025 Spend</t>
  </si>
  <si>
    <t xml:space="preserve">May 2025 Spend</t>
  </si>
  <si>
    <t xml:space="preserve">Jun 2025 Spend</t>
  </si>
  <si>
    <t xml:space="preserve">Jul 2025 Spend</t>
  </si>
  <si>
    <t xml:space="preserve">Aug 2025 Spend</t>
  </si>
  <si>
    <t xml:space="preserve">Sep 2025 Spend</t>
  </si>
  <si>
    <t xml:space="preserve">Oct 2025 Spend</t>
  </si>
  <si>
    <t xml:space="preserve">Nov 2025 Spend</t>
  </si>
  <si>
    <t xml:space="preserve">Dec 2025 Spend</t>
  </si>
  <si>
    <t xml:space="preserve">Conversions</t>
  </si>
  <si>
    <t xml:space="preserve">CMP-001</t>
  </si>
  <si>
    <t xml:space="preserve"> National Day </t>
  </si>
  <si>
    <t xml:space="preserve">Central|Bugis</t>
  </si>
  <si>
    <t xml:space="preserve">Manager 2</t>
  </si>
  <si>
    <t xml:space="preserve">CMP-002</t>
  </si>
  <si>
    <t xml:space="preserve"> Always On </t>
  </si>
  <si>
    <t xml:space="preserve">North|Yishun</t>
  </si>
  <si>
    <t xml:space="preserve">Manager 3</t>
  </si>
  <si>
    <t xml:space="preserve">CMP-003</t>
  </si>
  <si>
    <t xml:space="preserve"> Chinese New Year </t>
  </si>
  <si>
    <t xml:space="preserve">Manager 4</t>
  </si>
  <si>
    <t xml:space="preserve">CMP-004</t>
  </si>
  <si>
    <t xml:space="preserve">GREAT SINGAPORE SALE</t>
  </si>
  <si>
    <t xml:space="preserve">West|Clementi</t>
  </si>
  <si>
    <t xml:space="preserve">Manager 5</t>
  </si>
  <si>
    <t xml:space="preserve">CMP-005</t>
  </si>
  <si>
    <t xml:space="preserve">Manager 6</t>
  </si>
  <si>
    <t xml:space="preserve">CMP-006</t>
  </si>
  <si>
    <t xml:space="preserve"> 11.11 </t>
  </si>
  <si>
    <t xml:space="preserve">North|Woodlands</t>
  </si>
  <si>
    <t xml:space="preserve">Manager 7</t>
  </si>
  <si>
    <t xml:space="preserve">CMP-007</t>
  </si>
  <si>
    <t xml:space="preserve">Manager 8</t>
  </si>
  <si>
    <t xml:space="preserve">CMP-008</t>
  </si>
  <si>
    <t xml:space="preserve">ALWAYS ON</t>
  </si>
  <si>
    <t xml:space="preserve">Manager 1</t>
  </si>
  <si>
    <t xml:space="preserve">CMP-009</t>
  </si>
  <si>
    <t xml:space="preserve">East|Paya Lebar</t>
  </si>
  <si>
    <t xml:space="preserve">CMP-010</t>
  </si>
  <si>
    <t xml:space="preserve"> Great Singapore Sale </t>
  </si>
  <si>
    <t xml:space="preserve">Central|Marina Bay</t>
  </si>
  <si>
    <t xml:space="preserve">CMP-011</t>
  </si>
  <si>
    <t xml:space="preserve">CMP-012</t>
  </si>
  <si>
    <t xml:space="preserve">YEAR END</t>
  </si>
  <si>
    <t xml:space="preserve">West|Bukit Panjang</t>
  </si>
  <si>
    <t xml:space="preserve">CMP-013</t>
  </si>
  <si>
    <t xml:space="preserve">CMP-014</t>
  </si>
  <si>
    <t xml:space="preserve"> Year End </t>
  </si>
  <si>
    <t xml:space="preserve">East|Bedok</t>
  </si>
  <si>
    <t xml:space="preserve">CMP-015</t>
  </si>
  <si>
    <t xml:space="preserve">CMP-016</t>
  </si>
  <si>
    <t xml:space="preserve">11.11</t>
  </si>
  <si>
    <t xml:space="preserve">CMP-017</t>
  </si>
  <si>
    <t xml:space="preserve">CMP-018</t>
  </si>
  <si>
    <t xml:space="preserve">CMP-019</t>
  </si>
  <si>
    <t xml:space="preserve">CMP-020</t>
  </si>
  <si>
    <t xml:space="preserve">CHINESE NEW YEAR</t>
  </si>
  <si>
    <t xml:space="preserve">CMP-021</t>
  </si>
  <si>
    <t xml:space="preserve">CMP-022</t>
  </si>
  <si>
    <t xml:space="preserve">CMP-023</t>
  </si>
  <si>
    <t xml:space="preserve">CMP-024</t>
  </si>
  <si>
    <t xml:space="preserve">NATIONAL DAY</t>
  </si>
  <si>
    <t xml:space="preserve">CMP-025</t>
  </si>
  <si>
    <t xml:space="preserve">CMP-026</t>
  </si>
  <si>
    <t xml:space="preserve">CMP-027</t>
  </si>
  <si>
    <t xml:space="preserve">CMP-028</t>
  </si>
  <si>
    <t xml:space="preserve">West|Jurong East</t>
  </si>
  <si>
    <t xml:space="preserve">CMP-029</t>
  </si>
  <si>
    <t xml:space="preserve">East|Tampines</t>
  </si>
  <si>
    <t xml:space="preserve">CMP-030</t>
  </si>
  <si>
    <t xml:space="preserve">Central|Orchard</t>
  </si>
  <si>
    <t xml:space="preserve">CMP-031</t>
  </si>
  <si>
    <t xml:space="preserve">CMP-032</t>
  </si>
  <si>
    <t xml:space="preserve">CMP-033</t>
  </si>
  <si>
    <t xml:space="preserve">CMP-034</t>
  </si>
  <si>
    <t xml:space="preserve">CMP-035</t>
  </si>
  <si>
    <t xml:space="preserve">CMP-036</t>
  </si>
  <si>
    <t xml:space="preserve">CMP-037</t>
  </si>
  <si>
    <t xml:space="preserve">CMP-038</t>
  </si>
  <si>
    <t xml:space="preserve">CMP-039</t>
  </si>
  <si>
    <t xml:space="preserve">CMP-040</t>
  </si>
  <si>
    <t xml:space="preserve">CMP-041</t>
  </si>
  <si>
    <t xml:space="preserve">CMP-042</t>
  </si>
  <si>
    <t xml:space="preserve">CMP-043</t>
  </si>
  <si>
    <t xml:space="preserve">CMP-044</t>
  </si>
  <si>
    <t xml:space="preserve">CMP-045</t>
  </si>
  <si>
    <t xml:space="preserve">CMP-046</t>
  </si>
  <si>
    <t xml:space="preserve">CMP-047</t>
  </si>
  <si>
    <t xml:space="preserve">CMP-048</t>
  </si>
  <si>
    <t xml:space="preserve">CMP-049</t>
  </si>
  <si>
    <t xml:space="preserve">CMP-050</t>
  </si>
  <si>
    <t xml:space="preserve">CMP-051</t>
  </si>
  <si>
    <t xml:space="preserve">CMP-052</t>
  </si>
  <si>
    <t xml:space="preserve">CMP-053</t>
  </si>
  <si>
    <t xml:space="preserve">CMP-054</t>
  </si>
  <si>
    <t xml:space="preserve">CMP-055</t>
  </si>
  <si>
    <t xml:space="preserve">CMP-056</t>
  </si>
  <si>
    <t xml:space="preserve">CMP-057</t>
  </si>
  <si>
    <t xml:space="preserve">CMP-058</t>
  </si>
  <si>
    <t xml:space="preserve">CMP-059</t>
  </si>
  <si>
    <t xml:space="preserve">CMP-060</t>
  </si>
  <si>
    <t xml:space="preserve">Control</t>
  </si>
  <si>
    <t xml:space="preserve">Formula</t>
  </si>
  <si>
    <t xml:space="preserve">Campaign count</t>
  </si>
  <si>
    <t xml:space="preserve">Wide spend total</t>
  </si>
  <si>
    <t xml:space="preserve">Completion evidence</t>
  </si>
  <si>
    <t xml:space="preserve">Status</t>
  </si>
  <si>
    <t xml:space="preserve">Reviewer note</t>
  </si>
  <si>
    <t xml:space="preserve">Open the messy workbook</t>
  </si>
  <si>
    <t xml:space="preserve">Complete</t>
  </si>
  <si>
    <t xml:space="preserve">Example only — learner results may differ while still meeting acceptance criteria.</t>
  </si>
  <si>
    <t xml:space="preserve">Use Data Interpreter</t>
  </si>
  <si>
    <t xml:space="preserve">Split Location Code</t>
  </si>
  <si>
    <t xml:space="preserve">Create a clean Campaign Name</t>
  </si>
  <si>
    <t xml:space="preserve">Pivot monthly columns</t>
  </si>
  <si>
    <t xml:space="preserve">Set field types</t>
  </si>
  <si>
    <t xml:space="preserve">Filter unusable records</t>
  </si>
  <si>
    <t xml:space="preserve">Reconcile transformation</t>
  </si>
  <si>
    <t xml:space="preserve">PASS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</si>
</sst>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27A3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E8F7EE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bgColor rgb="FF000000"/>
        </patternFill>
      </fill>
    </dxf>
    <dxf>
      <fill>
        <patternFill patternType="solid">
          <fgColor rgb="FF1F6FE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7EE"/>
          <bgColor rgb="FF000000"/>
        </patternFill>
      </fill>
    </dxf>
    <dxf>
      <fill>
        <patternFill patternType="solid">
          <fgColor rgb="FF127A3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27A3E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7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05"/>
  </cols>
  <sheetData>
    <row r="1" customFormat="false" ht="23.8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15" hidden="false" customHeight="false" outlineLevel="0" collapsed="false">
      <c r="A6" s="2" t="s">
        <v>10</v>
      </c>
      <c r="B6" s="2" t="s">
        <v>11</v>
      </c>
    </row>
    <row r="7" customFormat="false" ht="15" hidden="false" customHeight="false" outlineLevel="0" collapsed="false">
      <c r="A7" s="2" t="s">
        <v>12</v>
      </c>
      <c r="B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8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16" min="5" style="0" width="16"/>
    <col collapsed="false" customWidth="true" hidden="false" outlineLevel="0" max="17" min="17" style="0" width="13"/>
  </cols>
  <sheetData>
    <row r="1" customFormat="false" ht="15" hidden="false" customHeight="false" outlineLevel="0" collapsed="false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customFormat="false" ht="15" hidden="false" customHeight="false" outlineLevel="0" collapsed="false">
      <c r="A2" s="4" t="s">
        <v>15</v>
      </c>
      <c r="B2" s="4" t="s">
        <v>16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customFormat="false" ht="15" hidden="false" customHeight="false" outlineLevel="0" collapsed="false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25</v>
      </c>
      <c r="J4" s="4" t="s">
        <v>26</v>
      </c>
      <c r="K4" s="4" t="s">
        <v>27</v>
      </c>
      <c r="L4" s="4" t="s">
        <v>28</v>
      </c>
      <c r="M4" s="4" t="s">
        <v>29</v>
      </c>
      <c r="N4" s="4" t="s">
        <v>30</v>
      </c>
      <c r="O4" s="4" t="s">
        <v>31</v>
      </c>
      <c r="P4" s="4" t="s">
        <v>32</v>
      </c>
      <c r="Q4" s="4" t="s">
        <v>33</v>
      </c>
    </row>
    <row r="5" customFormat="false" ht="15" hidden="false" customHeight="false" outlineLevel="0" collapsed="false">
      <c r="A5" s="4" t="s">
        <v>34</v>
      </c>
      <c r="B5" s="4" t="s">
        <v>35</v>
      </c>
      <c r="C5" s="4" t="s">
        <v>36</v>
      </c>
      <c r="D5" s="4" t="s">
        <v>37</v>
      </c>
      <c r="E5" s="4" t="n">
        <v>11700</v>
      </c>
      <c r="F5" s="4" t="n">
        <v>13845</v>
      </c>
      <c r="G5" s="4" t="n">
        <v>10427</v>
      </c>
      <c r="H5" s="4" t="n">
        <v>17075</v>
      </c>
      <c r="I5" s="4" t="n">
        <v>17557</v>
      </c>
      <c r="J5" s="4" t="n">
        <v>15801</v>
      </c>
      <c r="K5" s="4" t="n">
        <v>7124</v>
      </c>
      <c r="L5" s="4" t="n">
        <v>12634</v>
      </c>
      <c r="M5" s="4" t="n">
        <v>13011</v>
      </c>
      <c r="N5" s="4" t="n">
        <v>15738</v>
      </c>
      <c r="O5" s="4" t="n">
        <v>11819</v>
      </c>
      <c r="P5" s="4" t="n">
        <v>13449</v>
      </c>
      <c r="Q5" s="4" t="n">
        <v>202</v>
      </c>
    </row>
    <row r="6" customFormat="false" ht="15" hidden="false" customHeight="false" outlineLevel="0" collapsed="false">
      <c r="A6" s="4" t="s">
        <v>38</v>
      </c>
      <c r="B6" s="4" t="s">
        <v>39</v>
      </c>
      <c r="C6" s="4" t="s">
        <v>40</v>
      </c>
      <c r="D6" s="4" t="s">
        <v>41</v>
      </c>
      <c r="E6" s="4" t="n">
        <v>6667</v>
      </c>
      <c r="F6" s="4" t="n">
        <v>8156</v>
      </c>
      <c r="G6" s="4" t="n">
        <v>17003</v>
      </c>
      <c r="H6" s="4" t="n">
        <v>7768</v>
      </c>
      <c r="I6" s="4" t="n">
        <v>17509</v>
      </c>
      <c r="J6" s="4" t="n">
        <v>9400</v>
      </c>
      <c r="K6" s="4" t="n">
        <v>8463</v>
      </c>
      <c r="L6" s="4" t="n">
        <v>8451</v>
      </c>
      <c r="M6" s="4" t="n">
        <v>7851</v>
      </c>
      <c r="N6" s="4" t="n">
        <v>6638</v>
      </c>
      <c r="O6" s="4" t="n">
        <v>8492</v>
      </c>
      <c r="P6" s="4" t="n">
        <v>17321</v>
      </c>
      <c r="Q6" s="4" t="n">
        <v>207</v>
      </c>
    </row>
    <row r="7" customFormat="false" ht="15" hidden="false" customHeight="false" outlineLevel="0" collapsed="false">
      <c r="A7" s="4" t="s">
        <v>42</v>
      </c>
      <c r="B7" s="4" t="s">
        <v>43</v>
      </c>
      <c r="C7" s="4" t="s">
        <v>36</v>
      </c>
      <c r="D7" s="4" t="s">
        <v>44</v>
      </c>
      <c r="E7" s="4" t="n">
        <v>3545</v>
      </c>
      <c r="F7" s="4" t="n">
        <v>17782</v>
      </c>
      <c r="G7" s="4" t="n">
        <v>17227</v>
      </c>
      <c r="H7" s="4" t="n">
        <v>14917</v>
      </c>
      <c r="I7" s="4" t="n">
        <v>10857</v>
      </c>
      <c r="J7" s="4" t="n">
        <v>7972</v>
      </c>
      <c r="K7" s="4" t="n">
        <v>6766</v>
      </c>
      <c r="L7" s="4" t="n">
        <v>9385</v>
      </c>
      <c r="M7" s="4" t="n">
        <v>6475</v>
      </c>
      <c r="N7" s="4" t="n">
        <v>15244</v>
      </c>
      <c r="O7" s="4" t="n">
        <v>12729</v>
      </c>
      <c r="P7" s="4" t="n">
        <v>13727</v>
      </c>
      <c r="Q7" s="4" t="n">
        <v>295</v>
      </c>
    </row>
    <row r="8" customFormat="false" ht="15" hidden="false" customHeight="false" outlineLevel="0" collapsed="false">
      <c r="A8" s="4" t="s">
        <v>45</v>
      </c>
      <c r="B8" s="4" t="s">
        <v>46</v>
      </c>
      <c r="C8" s="4" t="s">
        <v>47</v>
      </c>
      <c r="D8" s="4" t="s">
        <v>48</v>
      </c>
      <c r="E8" s="4" t="n">
        <v>13772</v>
      </c>
      <c r="F8" s="4" t="n">
        <v>13810</v>
      </c>
      <c r="G8" s="4" t="n">
        <v>12072</v>
      </c>
      <c r="H8" s="4" t="n">
        <v>8220</v>
      </c>
      <c r="I8" s="4" t="n">
        <v>12915</v>
      </c>
      <c r="J8" s="4" t="n">
        <v>14813</v>
      </c>
      <c r="K8" s="4" t="n">
        <v>6990</v>
      </c>
      <c r="L8" s="4" t="n">
        <v>5296</v>
      </c>
      <c r="M8" s="4" t="n">
        <v>15619</v>
      </c>
      <c r="N8" s="4" t="n">
        <v>14035</v>
      </c>
      <c r="O8" s="4" t="n">
        <v>7892</v>
      </c>
      <c r="P8" s="4" t="n">
        <v>7309</v>
      </c>
      <c r="Q8" s="4" t="n">
        <v>57</v>
      </c>
    </row>
    <row r="9" customFormat="false" ht="15" hidden="false" customHeight="false" outlineLevel="0" collapsed="false">
      <c r="A9" s="4" t="s">
        <v>49</v>
      </c>
      <c r="B9" s="4" t="s">
        <v>35</v>
      </c>
      <c r="C9" s="4" t="s">
        <v>47</v>
      </c>
      <c r="D9" s="4" t="s">
        <v>50</v>
      </c>
      <c r="E9" s="4" t="n">
        <v>15472</v>
      </c>
      <c r="F9" s="4" t="n">
        <v>17325</v>
      </c>
      <c r="G9" s="4" t="n">
        <v>7579</v>
      </c>
      <c r="H9" s="4" t="n">
        <v>3084</v>
      </c>
      <c r="I9" s="4" t="n">
        <v>6641</v>
      </c>
      <c r="J9" s="4" t="n">
        <v>13009</v>
      </c>
      <c r="K9" s="4" t="n">
        <v>14658</v>
      </c>
      <c r="L9" s="4" t="n">
        <v>5064</v>
      </c>
      <c r="M9" s="4" t="n">
        <v>4216</v>
      </c>
      <c r="N9" s="4" t="n">
        <v>7388</v>
      </c>
      <c r="O9" s="4" t="n">
        <v>6368</v>
      </c>
      <c r="P9" s="4" t="n">
        <v>11440</v>
      </c>
      <c r="Q9" s="4" t="n">
        <v>389</v>
      </c>
    </row>
    <row r="10" customFormat="false" ht="15" hidden="false" customHeight="false" outlineLevel="0" collapsed="false">
      <c r="A10" s="4" t="s">
        <v>51</v>
      </c>
      <c r="B10" s="4" t="s">
        <v>52</v>
      </c>
      <c r="C10" s="4" t="s">
        <v>53</v>
      </c>
      <c r="D10" s="4" t="s">
        <v>54</v>
      </c>
      <c r="E10" s="4" t="n">
        <v>17868</v>
      </c>
      <c r="F10" s="4" t="n">
        <v>4570</v>
      </c>
      <c r="G10" s="4" t="n">
        <v>12328</v>
      </c>
      <c r="H10" s="4" t="n">
        <v>17098</v>
      </c>
      <c r="I10" s="4" t="n">
        <v>14985</v>
      </c>
      <c r="J10" s="4" t="n">
        <v>12223</v>
      </c>
      <c r="K10" s="4" t="n">
        <v>11444</v>
      </c>
      <c r="L10" s="4" t="n">
        <v>13853</v>
      </c>
      <c r="M10" s="4" t="n">
        <v>10046</v>
      </c>
      <c r="N10" s="4" t="n">
        <v>15717</v>
      </c>
      <c r="O10" s="4" t="n">
        <v>14127</v>
      </c>
      <c r="P10" s="4" t="n">
        <v>9157</v>
      </c>
      <c r="Q10" s="4" t="n">
        <v>317</v>
      </c>
    </row>
    <row r="11" customFormat="false" ht="15" hidden="false" customHeight="false" outlineLevel="0" collapsed="false">
      <c r="A11" s="4" t="s">
        <v>55</v>
      </c>
      <c r="B11" s="4" t="s">
        <v>52</v>
      </c>
      <c r="C11" s="4" t="s">
        <v>40</v>
      </c>
      <c r="D11" s="4" t="s">
        <v>56</v>
      </c>
      <c r="E11" s="4" t="n">
        <v>13958</v>
      </c>
      <c r="F11" s="4" t="n">
        <v>10485</v>
      </c>
      <c r="G11" s="4" t="n">
        <v>17735</v>
      </c>
      <c r="H11" s="4" t="n">
        <v>17300</v>
      </c>
      <c r="I11" s="4" t="n">
        <v>17814</v>
      </c>
      <c r="J11" s="4" t="n">
        <v>12933</v>
      </c>
      <c r="K11" s="4" t="n">
        <v>15889</v>
      </c>
      <c r="L11" s="4" t="n">
        <v>7363</v>
      </c>
      <c r="M11" s="4" t="n">
        <v>17758</v>
      </c>
      <c r="N11" s="4" t="n">
        <v>3611</v>
      </c>
      <c r="O11" s="4" t="n">
        <v>11396</v>
      </c>
      <c r="P11" s="4" t="n">
        <v>8230</v>
      </c>
      <c r="Q11" s="4" t="n">
        <v>360</v>
      </c>
    </row>
    <row r="12" customFormat="false" ht="15" hidden="false" customHeight="false" outlineLevel="0" collapsed="false">
      <c r="A12" s="4" t="s">
        <v>57</v>
      </c>
      <c r="B12" s="4" t="s">
        <v>58</v>
      </c>
      <c r="C12" s="4" t="s">
        <v>47</v>
      </c>
      <c r="D12" s="4" t="s">
        <v>59</v>
      </c>
      <c r="E12" s="4" t="n">
        <v>16862</v>
      </c>
      <c r="F12" s="4" t="n">
        <v>5157</v>
      </c>
      <c r="G12" s="4" t="n">
        <v>16904</v>
      </c>
      <c r="H12" s="4" t="n">
        <v>11727</v>
      </c>
      <c r="I12" s="4" t="n">
        <v>12769</v>
      </c>
      <c r="J12" s="4" t="n">
        <v>17897</v>
      </c>
      <c r="K12" s="4" t="n">
        <v>10687</v>
      </c>
      <c r="L12" s="4" t="n">
        <v>16179</v>
      </c>
      <c r="M12" s="4" t="n">
        <v>7015</v>
      </c>
      <c r="N12" s="4" t="n">
        <v>11354</v>
      </c>
      <c r="O12" s="4" t="n">
        <v>8839</v>
      </c>
      <c r="P12" s="4" t="n">
        <v>5541</v>
      </c>
      <c r="Q12" s="4" t="n">
        <v>163</v>
      </c>
    </row>
    <row r="13" customFormat="false" ht="15" hidden="false" customHeight="false" outlineLevel="0" collapsed="false">
      <c r="A13" s="4" t="s">
        <v>60</v>
      </c>
      <c r="B13" s="4" t="s">
        <v>52</v>
      </c>
      <c r="C13" s="4" t="s">
        <v>61</v>
      </c>
      <c r="D13" s="4" t="s">
        <v>37</v>
      </c>
      <c r="E13" s="4" t="n">
        <v>9296</v>
      </c>
      <c r="F13" s="4" t="n">
        <v>13271</v>
      </c>
      <c r="G13" s="4" t="n">
        <v>7865</v>
      </c>
      <c r="H13" s="4" t="n">
        <v>15774</v>
      </c>
      <c r="I13" s="4" t="n">
        <v>11003</v>
      </c>
      <c r="J13" s="4" t="n">
        <v>11516</v>
      </c>
      <c r="K13" s="4" t="n">
        <v>14270</v>
      </c>
      <c r="L13" s="4" t="n">
        <v>9324</v>
      </c>
      <c r="M13" s="4" t="n">
        <v>12181</v>
      </c>
      <c r="N13" s="4" t="n">
        <v>8074</v>
      </c>
      <c r="O13" s="4" t="n">
        <v>16244</v>
      </c>
      <c r="P13" s="4" t="n">
        <v>9483</v>
      </c>
      <c r="Q13" s="4" t="n">
        <v>55</v>
      </c>
    </row>
    <row r="14" customFormat="false" ht="15" hidden="false" customHeight="false" outlineLevel="0" collapsed="false">
      <c r="A14" s="4" t="s">
        <v>62</v>
      </c>
      <c r="B14" s="4" t="s">
        <v>63</v>
      </c>
      <c r="C14" s="4" t="s">
        <v>64</v>
      </c>
      <c r="D14" s="4" t="s">
        <v>41</v>
      </c>
      <c r="E14" s="4" t="n">
        <v>16098</v>
      </c>
      <c r="F14" s="4" t="n">
        <v>12655</v>
      </c>
      <c r="G14" s="4" t="n">
        <v>8623</v>
      </c>
      <c r="H14" s="4" t="n">
        <v>12969</v>
      </c>
      <c r="I14" s="4" t="n">
        <v>11733</v>
      </c>
      <c r="J14" s="4" t="n">
        <v>5506</v>
      </c>
      <c r="K14" s="4" t="n">
        <v>7897</v>
      </c>
      <c r="L14" s="4" t="n">
        <v>7700</v>
      </c>
      <c r="M14" s="4" t="n">
        <v>9218</v>
      </c>
      <c r="N14" s="4" t="n">
        <v>5455</v>
      </c>
      <c r="O14" s="4" t="n">
        <v>14770</v>
      </c>
      <c r="P14" s="4" t="n">
        <v>3309</v>
      </c>
      <c r="Q14" s="4" t="n">
        <v>91</v>
      </c>
    </row>
    <row r="15" customFormat="false" ht="15" hidden="false" customHeight="false" outlineLevel="0" collapsed="false">
      <c r="A15" s="4" t="s">
        <v>65</v>
      </c>
      <c r="B15" s="4" t="s">
        <v>63</v>
      </c>
      <c r="C15" s="4" t="s">
        <v>36</v>
      </c>
      <c r="D15" s="4" t="s">
        <v>44</v>
      </c>
      <c r="E15" s="4" t="n">
        <v>9783</v>
      </c>
      <c r="F15" s="4" t="n">
        <v>14056</v>
      </c>
      <c r="G15" s="4" t="n">
        <v>16544</v>
      </c>
      <c r="H15" s="4" t="n">
        <v>15616</v>
      </c>
      <c r="I15" s="4" t="n">
        <v>3409</v>
      </c>
      <c r="J15" s="4" t="n">
        <v>15189</v>
      </c>
      <c r="K15" s="4" t="n">
        <v>10906</v>
      </c>
      <c r="L15" s="4" t="n">
        <v>10257</v>
      </c>
      <c r="M15" s="4" t="n">
        <v>17048</v>
      </c>
      <c r="N15" s="4" t="n">
        <v>5782</v>
      </c>
      <c r="O15" s="4" t="n">
        <v>6740</v>
      </c>
      <c r="P15" s="4" t="n">
        <v>12720</v>
      </c>
      <c r="Q15" s="4" t="n">
        <v>59</v>
      </c>
    </row>
    <row r="16" customFormat="false" ht="15" hidden="false" customHeight="false" outlineLevel="0" collapsed="false">
      <c r="A16" s="4" t="s">
        <v>66</v>
      </c>
      <c r="B16" s="4" t="s">
        <v>67</v>
      </c>
      <c r="C16" s="4" t="s">
        <v>68</v>
      </c>
      <c r="D16" s="4" t="s">
        <v>48</v>
      </c>
      <c r="E16" s="4" t="n">
        <v>17918</v>
      </c>
      <c r="F16" s="4" t="n">
        <v>9376</v>
      </c>
      <c r="G16" s="4" t="n">
        <v>4866</v>
      </c>
      <c r="H16" s="4" t="n">
        <v>5116</v>
      </c>
      <c r="I16" s="4" t="n">
        <v>3090</v>
      </c>
      <c r="J16" s="4" t="n">
        <v>9312</v>
      </c>
      <c r="K16" s="4" t="n">
        <v>3241</v>
      </c>
      <c r="L16" s="4" t="n">
        <v>7351</v>
      </c>
      <c r="M16" s="4" t="n">
        <v>17295</v>
      </c>
      <c r="N16" s="4" t="n">
        <v>14860</v>
      </c>
      <c r="O16" s="4" t="n">
        <v>14916</v>
      </c>
      <c r="P16" s="4" t="n">
        <v>14046</v>
      </c>
      <c r="Q16" s="4" t="n">
        <v>234</v>
      </c>
    </row>
    <row r="17" customFormat="false" ht="15" hidden="false" customHeight="false" outlineLevel="0" collapsed="false">
      <c r="A17" s="4" t="s">
        <v>69</v>
      </c>
      <c r="B17" s="4" t="s">
        <v>43</v>
      </c>
      <c r="C17" s="4" t="s">
        <v>36</v>
      </c>
      <c r="D17" s="4" t="s">
        <v>50</v>
      </c>
      <c r="E17" s="4" t="n">
        <v>7972</v>
      </c>
      <c r="F17" s="4" t="n">
        <v>11247</v>
      </c>
      <c r="G17" s="4" t="n">
        <v>11639</v>
      </c>
      <c r="H17" s="4" t="n">
        <v>9387</v>
      </c>
      <c r="I17" s="4" t="n">
        <v>14888</v>
      </c>
      <c r="J17" s="4" t="n">
        <v>10299</v>
      </c>
      <c r="K17" s="4" t="n">
        <v>13463</v>
      </c>
      <c r="L17" s="4" t="n">
        <v>7774</v>
      </c>
      <c r="M17" s="4" t="n">
        <v>11234</v>
      </c>
      <c r="N17" s="4" t="n">
        <v>16130</v>
      </c>
      <c r="O17" s="4" t="n">
        <v>6853</v>
      </c>
      <c r="P17" s="4" t="n">
        <v>3333</v>
      </c>
      <c r="Q17" s="4" t="n">
        <v>249</v>
      </c>
    </row>
    <row r="18" customFormat="false" ht="15" hidden="false" customHeight="false" outlineLevel="0" collapsed="false">
      <c r="A18" s="4" t="s">
        <v>70</v>
      </c>
      <c r="B18" s="4" t="s">
        <v>71</v>
      </c>
      <c r="C18" s="4" t="s">
        <v>72</v>
      </c>
      <c r="D18" s="4" t="s">
        <v>54</v>
      </c>
      <c r="E18" s="4" t="n">
        <v>7534</v>
      </c>
      <c r="F18" s="4" t="n">
        <v>6125</v>
      </c>
      <c r="G18" s="4" t="n">
        <v>14073</v>
      </c>
      <c r="H18" s="4" t="n">
        <v>14629</v>
      </c>
      <c r="I18" s="4" t="n">
        <v>15383</v>
      </c>
      <c r="J18" s="4" t="n">
        <v>5803</v>
      </c>
      <c r="K18" s="4" t="n">
        <v>3407</v>
      </c>
      <c r="L18" s="4" t="n">
        <v>4439</v>
      </c>
      <c r="M18" s="4" t="n">
        <v>11756</v>
      </c>
      <c r="N18" s="4" t="n">
        <v>15404</v>
      </c>
      <c r="O18" s="4" t="n">
        <v>16570</v>
      </c>
      <c r="P18" s="4" t="n">
        <v>14704</v>
      </c>
      <c r="Q18" s="4" t="n">
        <v>350</v>
      </c>
    </row>
    <row r="19" customFormat="false" ht="15" hidden="false" customHeight="false" outlineLevel="0" collapsed="false">
      <c r="A19" s="4" t="s">
        <v>73</v>
      </c>
      <c r="B19" s="4" t="s">
        <v>71</v>
      </c>
      <c r="C19" s="4" t="s">
        <v>36</v>
      </c>
      <c r="D19" s="4" t="s">
        <v>56</v>
      </c>
      <c r="E19" s="4" t="n">
        <v>12951</v>
      </c>
      <c r="F19" s="4" t="n">
        <v>11740</v>
      </c>
      <c r="G19" s="4" t="n">
        <v>10237</v>
      </c>
      <c r="H19" s="4" t="n">
        <v>14777</v>
      </c>
      <c r="I19" s="4" t="n">
        <v>9262</v>
      </c>
      <c r="J19" s="4" t="n">
        <v>6179</v>
      </c>
      <c r="K19" s="4" t="n">
        <v>4651</v>
      </c>
      <c r="L19" s="4" t="n">
        <v>15887</v>
      </c>
      <c r="M19" s="4" t="n">
        <v>10985</v>
      </c>
      <c r="N19" s="4" t="n">
        <v>15637</v>
      </c>
      <c r="O19" s="4" t="n">
        <v>3766</v>
      </c>
      <c r="P19" s="4" t="n">
        <v>10612</v>
      </c>
      <c r="Q19" s="4" t="n">
        <v>184</v>
      </c>
    </row>
    <row r="20" customFormat="false" ht="15" hidden="false" customHeight="false" outlineLevel="0" collapsed="false">
      <c r="A20" s="4" t="s">
        <v>74</v>
      </c>
      <c r="B20" s="4" t="s">
        <v>75</v>
      </c>
      <c r="C20" s="4" t="s">
        <v>64</v>
      </c>
      <c r="D20" s="4" t="s">
        <v>59</v>
      </c>
      <c r="E20" s="4" t="n">
        <v>15534</v>
      </c>
      <c r="F20" s="4" t="n">
        <v>12540</v>
      </c>
      <c r="G20" s="4" t="n">
        <v>12428</v>
      </c>
      <c r="H20" s="4" t="n">
        <v>4663</v>
      </c>
      <c r="I20" s="4" t="n">
        <v>4957</v>
      </c>
      <c r="J20" s="4" t="n">
        <v>9059</v>
      </c>
      <c r="K20" s="4" t="n">
        <v>15076</v>
      </c>
      <c r="L20" s="4" t="n">
        <v>3966</v>
      </c>
      <c r="M20" s="4" t="n">
        <v>14873</v>
      </c>
      <c r="N20" s="4" t="n">
        <v>6641</v>
      </c>
      <c r="O20" s="4" t="n">
        <v>7656</v>
      </c>
      <c r="P20" s="4" t="n">
        <v>16166</v>
      </c>
      <c r="Q20" s="4" t="n">
        <v>78</v>
      </c>
    </row>
    <row r="21" customFormat="false" ht="15" hidden="false" customHeight="false" outlineLevel="0" collapsed="false">
      <c r="A21" s="4" t="s">
        <v>76</v>
      </c>
      <c r="B21" s="4" t="s">
        <v>43</v>
      </c>
      <c r="C21" s="4" t="s">
        <v>47</v>
      </c>
      <c r="D21" s="4" t="s">
        <v>37</v>
      </c>
      <c r="E21" s="4" t="n">
        <v>12620</v>
      </c>
      <c r="F21" s="4" t="n">
        <v>4921</v>
      </c>
      <c r="G21" s="4" t="n">
        <v>9923</v>
      </c>
      <c r="H21" s="4" t="n">
        <v>5121</v>
      </c>
      <c r="I21" s="4" t="n">
        <v>16431</v>
      </c>
      <c r="J21" s="4" t="n">
        <v>8632</v>
      </c>
      <c r="K21" s="4" t="n">
        <v>12897</v>
      </c>
      <c r="L21" s="4" t="n">
        <v>6568</v>
      </c>
      <c r="M21" s="4" t="n">
        <v>17611</v>
      </c>
      <c r="N21" s="4" t="n">
        <v>17923</v>
      </c>
      <c r="O21" s="4" t="n">
        <v>15052</v>
      </c>
      <c r="P21" s="4" t="n">
        <v>11399</v>
      </c>
      <c r="Q21" s="4" t="n">
        <v>94</v>
      </c>
    </row>
    <row r="22" customFormat="false" ht="15" hidden="false" customHeight="false" outlineLevel="0" collapsed="false">
      <c r="A22" s="4" t="s">
        <v>77</v>
      </c>
      <c r="B22" s="4" t="s">
        <v>52</v>
      </c>
      <c r="C22" s="4" t="s">
        <v>72</v>
      </c>
      <c r="D22" s="4" t="s">
        <v>41</v>
      </c>
      <c r="E22" s="4" t="n">
        <v>8107</v>
      </c>
      <c r="F22" s="4" t="n">
        <v>7100</v>
      </c>
      <c r="G22" s="4" t="n">
        <v>13623</v>
      </c>
      <c r="H22" s="4" t="n">
        <v>12041</v>
      </c>
      <c r="I22" s="4" t="n">
        <v>3175</v>
      </c>
      <c r="J22" s="4" t="n">
        <v>16369</v>
      </c>
      <c r="K22" s="4" t="n">
        <v>13678</v>
      </c>
      <c r="L22" s="4" t="n">
        <v>7389</v>
      </c>
      <c r="M22" s="4" t="n">
        <v>15906</v>
      </c>
      <c r="N22" s="4" t="n">
        <v>5727</v>
      </c>
      <c r="O22" s="4" t="n">
        <v>13375</v>
      </c>
      <c r="P22" s="4" t="n">
        <v>14171</v>
      </c>
      <c r="Q22" s="4" t="n">
        <v>157</v>
      </c>
    </row>
    <row r="23" customFormat="false" ht="15" hidden="false" customHeight="false" outlineLevel="0" collapsed="false">
      <c r="A23" s="4" t="s">
        <v>78</v>
      </c>
      <c r="B23" s="4" t="s">
        <v>39</v>
      </c>
      <c r="C23" s="4" t="s">
        <v>53</v>
      </c>
      <c r="D23" s="4" t="s">
        <v>44</v>
      </c>
      <c r="E23" s="4" t="n">
        <v>11251</v>
      </c>
      <c r="F23" s="4" t="n">
        <v>8660</v>
      </c>
      <c r="G23" s="4" t="n">
        <v>9950</v>
      </c>
      <c r="H23" s="4" t="n">
        <v>14170</v>
      </c>
      <c r="I23" s="4" t="n">
        <v>4347</v>
      </c>
      <c r="J23" s="4" t="n">
        <v>10335</v>
      </c>
      <c r="K23" s="4" t="n">
        <v>12591</v>
      </c>
      <c r="L23" s="4" t="n">
        <v>16958</v>
      </c>
      <c r="M23" s="4" t="n">
        <v>13132</v>
      </c>
      <c r="N23" s="4" t="n">
        <v>5918</v>
      </c>
      <c r="O23" s="4" t="n">
        <v>15475</v>
      </c>
      <c r="P23" s="4" t="n">
        <v>11690</v>
      </c>
      <c r="Q23" s="4" t="n">
        <v>193</v>
      </c>
    </row>
    <row r="24" customFormat="false" ht="15" hidden="false" customHeight="false" outlineLevel="0" collapsed="false">
      <c r="A24" s="4" t="s">
        <v>79</v>
      </c>
      <c r="B24" s="4" t="s">
        <v>80</v>
      </c>
      <c r="C24" s="4" t="s">
        <v>40</v>
      </c>
      <c r="D24" s="4" t="s">
        <v>48</v>
      </c>
      <c r="E24" s="4" t="n">
        <v>13239</v>
      </c>
      <c r="F24" s="4" t="n">
        <v>9914</v>
      </c>
      <c r="G24" s="4" t="n">
        <v>9545</v>
      </c>
      <c r="H24" s="4" t="n">
        <v>4869</v>
      </c>
      <c r="I24" s="4" t="n">
        <v>13369</v>
      </c>
      <c r="J24" s="4" t="n">
        <v>14473</v>
      </c>
      <c r="K24" s="4" t="n">
        <v>10085</v>
      </c>
      <c r="L24" s="4" t="n">
        <v>3899</v>
      </c>
      <c r="M24" s="4" t="n">
        <v>11571</v>
      </c>
      <c r="N24" s="4" t="n">
        <v>9398</v>
      </c>
      <c r="O24" s="4" t="n">
        <v>11307</v>
      </c>
      <c r="P24" s="4" t="n">
        <v>5551</v>
      </c>
      <c r="Q24" s="4" t="n">
        <v>187</v>
      </c>
    </row>
    <row r="25" customFormat="false" ht="15" hidden="false" customHeight="false" outlineLevel="0" collapsed="false">
      <c r="A25" s="4" t="s">
        <v>81</v>
      </c>
      <c r="B25" s="4" t="s">
        <v>52</v>
      </c>
      <c r="C25" s="4" t="s">
        <v>53</v>
      </c>
      <c r="D25" s="4" t="s">
        <v>50</v>
      </c>
      <c r="E25" s="4" t="n">
        <v>3786</v>
      </c>
      <c r="F25" s="4" t="n">
        <v>6953</v>
      </c>
      <c r="G25" s="4" t="n">
        <v>4873</v>
      </c>
      <c r="H25" s="4" t="n">
        <v>11484</v>
      </c>
      <c r="I25" s="4" t="n">
        <v>3539</v>
      </c>
      <c r="J25" s="4" t="n">
        <v>3802</v>
      </c>
      <c r="K25" s="4" t="n">
        <v>16356</v>
      </c>
      <c r="L25" s="4" t="n">
        <v>17761</v>
      </c>
      <c r="M25" s="4" t="n">
        <v>13552</v>
      </c>
      <c r="N25" s="4" t="n">
        <v>4933</v>
      </c>
      <c r="O25" s="4" t="n">
        <v>15824</v>
      </c>
      <c r="P25" s="4" t="n">
        <v>6204</v>
      </c>
      <c r="Q25" s="4" t="n">
        <v>175</v>
      </c>
    </row>
    <row r="26" customFormat="false" ht="15" hidden="false" customHeight="false" outlineLevel="0" collapsed="false">
      <c r="A26" s="4" t="s">
        <v>82</v>
      </c>
      <c r="B26" s="4" t="s">
        <v>71</v>
      </c>
      <c r="C26" s="4" t="s">
        <v>40</v>
      </c>
      <c r="D26" s="4" t="s">
        <v>54</v>
      </c>
      <c r="E26" s="4" t="n">
        <v>8418</v>
      </c>
      <c r="F26" s="4" t="n">
        <v>10743</v>
      </c>
      <c r="G26" s="4" t="n">
        <v>4318</v>
      </c>
      <c r="H26" s="4" t="n">
        <v>9365</v>
      </c>
      <c r="I26" s="4" t="n">
        <v>13273</v>
      </c>
      <c r="J26" s="4" t="n">
        <v>11737</v>
      </c>
      <c r="K26" s="4" t="n">
        <v>6324</v>
      </c>
      <c r="L26" s="4" t="n">
        <v>13704</v>
      </c>
      <c r="M26" s="4" t="n">
        <v>15968</v>
      </c>
      <c r="N26" s="4" t="n">
        <v>9639</v>
      </c>
      <c r="O26" s="4" t="n">
        <v>3476</v>
      </c>
      <c r="P26" s="4" t="n">
        <v>12665</v>
      </c>
      <c r="Q26" s="4" t="n">
        <v>130</v>
      </c>
    </row>
    <row r="27" customFormat="false" ht="15" hidden="false" customHeight="false" outlineLevel="0" collapsed="false">
      <c r="A27" s="4" t="s">
        <v>83</v>
      </c>
      <c r="B27" s="4" t="s">
        <v>39</v>
      </c>
      <c r="C27" s="4" t="s">
        <v>64</v>
      </c>
      <c r="D27" s="4" t="s">
        <v>56</v>
      </c>
      <c r="E27" s="4" t="n">
        <v>16543</v>
      </c>
      <c r="F27" s="4" t="n">
        <v>15537</v>
      </c>
      <c r="G27" s="4" t="n">
        <v>16797</v>
      </c>
      <c r="H27" s="4" t="n">
        <v>7374</v>
      </c>
      <c r="I27" s="4" t="n">
        <v>13395</v>
      </c>
      <c r="J27" s="4" t="n">
        <v>13468</v>
      </c>
      <c r="K27" s="4" t="n">
        <v>4421</v>
      </c>
      <c r="L27" s="4" t="n">
        <v>3114</v>
      </c>
      <c r="M27" s="4" t="n">
        <v>13172</v>
      </c>
      <c r="N27" s="4" t="n">
        <v>6832</v>
      </c>
      <c r="O27" s="4" t="n">
        <v>12477</v>
      </c>
      <c r="P27" s="4" t="n">
        <v>6863</v>
      </c>
      <c r="Q27" s="4" t="n">
        <v>82</v>
      </c>
    </row>
    <row r="28" customFormat="false" ht="15" hidden="false" customHeight="false" outlineLevel="0" collapsed="false">
      <c r="A28" s="4" t="s">
        <v>84</v>
      </c>
      <c r="B28" s="4" t="s">
        <v>85</v>
      </c>
      <c r="C28" s="4" t="s">
        <v>53</v>
      </c>
      <c r="D28" s="4" t="s">
        <v>59</v>
      </c>
      <c r="E28" s="4" t="n">
        <v>5232</v>
      </c>
      <c r="F28" s="4" t="n">
        <v>15747</v>
      </c>
      <c r="G28" s="4" t="n">
        <v>12376</v>
      </c>
      <c r="H28" s="4" t="n">
        <v>6668</v>
      </c>
      <c r="I28" s="4" t="n">
        <v>6599</v>
      </c>
      <c r="J28" s="4" t="n">
        <v>16169</v>
      </c>
      <c r="K28" s="4" t="n">
        <v>14639</v>
      </c>
      <c r="L28" s="4" t="n">
        <v>17096</v>
      </c>
      <c r="M28" s="4" t="n">
        <v>5288</v>
      </c>
      <c r="N28" s="4" t="n">
        <v>10057</v>
      </c>
      <c r="O28" s="4" t="n">
        <v>15848</v>
      </c>
      <c r="P28" s="4" t="n">
        <v>14619</v>
      </c>
      <c r="Q28" s="4" t="n">
        <v>371</v>
      </c>
    </row>
    <row r="29" customFormat="false" ht="15" hidden="false" customHeight="false" outlineLevel="0" collapsed="false">
      <c r="A29" s="4" t="s">
        <v>86</v>
      </c>
      <c r="B29" s="4" t="s">
        <v>71</v>
      </c>
      <c r="C29" s="4" t="s">
        <v>47</v>
      </c>
      <c r="D29" s="4" t="s">
        <v>37</v>
      </c>
      <c r="E29" s="4" t="n">
        <v>7704</v>
      </c>
      <c r="F29" s="4" t="n">
        <v>7488</v>
      </c>
      <c r="G29" s="4" t="n">
        <v>5896</v>
      </c>
      <c r="H29" s="4" t="n">
        <v>15842</v>
      </c>
      <c r="I29" s="4" t="n">
        <v>3347</v>
      </c>
      <c r="J29" s="4" t="n">
        <v>13087</v>
      </c>
      <c r="K29" s="4" t="n">
        <v>11963</v>
      </c>
      <c r="L29" s="4" t="n">
        <v>16677</v>
      </c>
      <c r="M29" s="4" t="n">
        <v>9485</v>
      </c>
      <c r="N29" s="4" t="n">
        <v>4162</v>
      </c>
      <c r="O29" s="4" t="n">
        <v>10601</v>
      </c>
      <c r="P29" s="4" t="n">
        <v>15876</v>
      </c>
      <c r="Q29" s="4" t="n">
        <v>92</v>
      </c>
    </row>
    <row r="30" customFormat="false" ht="15" hidden="false" customHeight="false" outlineLevel="0" collapsed="false">
      <c r="A30" s="4" t="s">
        <v>87</v>
      </c>
      <c r="B30" s="4" t="s">
        <v>39</v>
      </c>
      <c r="C30" s="4" t="s">
        <v>53</v>
      </c>
      <c r="D30" s="4" t="s">
        <v>41</v>
      </c>
      <c r="E30" s="4" t="n">
        <v>16574</v>
      </c>
      <c r="F30" s="4" t="n">
        <v>7191</v>
      </c>
      <c r="G30" s="4" t="n">
        <v>6433</v>
      </c>
      <c r="H30" s="4" t="n">
        <v>15724</v>
      </c>
      <c r="I30" s="4" t="n">
        <v>5979</v>
      </c>
      <c r="J30" s="4" t="n">
        <v>9827</v>
      </c>
      <c r="K30" s="4" t="n">
        <v>17771</v>
      </c>
      <c r="L30" s="4" t="n">
        <v>12844</v>
      </c>
      <c r="M30" s="4" t="n">
        <v>14277</v>
      </c>
      <c r="N30" s="4" t="n">
        <v>5752</v>
      </c>
      <c r="O30" s="4" t="n">
        <v>13909</v>
      </c>
      <c r="P30" s="4" t="n">
        <v>5416</v>
      </c>
      <c r="Q30" s="4" t="n">
        <v>275</v>
      </c>
    </row>
    <row r="31" customFormat="false" ht="15" hidden="false" customHeight="false" outlineLevel="0" collapsed="false">
      <c r="A31" s="4" t="s">
        <v>88</v>
      </c>
      <c r="B31" s="4" t="s">
        <v>63</v>
      </c>
      <c r="C31" s="4" t="s">
        <v>61</v>
      </c>
      <c r="D31" s="4" t="s">
        <v>44</v>
      </c>
      <c r="E31" s="4" t="n">
        <v>2914</v>
      </c>
      <c r="F31" s="4" t="n">
        <v>6002</v>
      </c>
      <c r="G31" s="4" t="n">
        <v>8230</v>
      </c>
      <c r="H31" s="4" t="n">
        <v>12883</v>
      </c>
      <c r="I31" s="4" t="n">
        <v>3255</v>
      </c>
      <c r="J31" s="4" t="n">
        <v>16284</v>
      </c>
      <c r="K31" s="4" t="n">
        <v>11091</v>
      </c>
      <c r="L31" s="4" t="n">
        <v>11236</v>
      </c>
      <c r="M31" s="4" t="n">
        <v>16676</v>
      </c>
      <c r="N31" s="4" t="n">
        <v>4523</v>
      </c>
      <c r="O31" s="4" t="n">
        <v>8908</v>
      </c>
      <c r="P31" s="4" t="n">
        <v>4642</v>
      </c>
      <c r="Q31" s="4" t="n">
        <v>199</v>
      </c>
    </row>
    <row r="32" customFormat="false" ht="15" hidden="false" customHeight="false" outlineLevel="0" collapsed="false">
      <c r="A32" s="4" t="s">
        <v>89</v>
      </c>
      <c r="B32" s="4" t="s">
        <v>85</v>
      </c>
      <c r="C32" s="4" t="s">
        <v>90</v>
      </c>
      <c r="D32" s="4" t="s">
        <v>48</v>
      </c>
      <c r="E32" s="4" t="n">
        <v>17257</v>
      </c>
      <c r="F32" s="4" t="n">
        <v>9831</v>
      </c>
      <c r="G32" s="4" t="n">
        <v>11532</v>
      </c>
      <c r="H32" s="4" t="n">
        <v>4153</v>
      </c>
      <c r="I32" s="4" t="n">
        <v>9470</v>
      </c>
      <c r="J32" s="4" t="n">
        <v>4341</v>
      </c>
      <c r="K32" s="4" t="n">
        <v>14578</v>
      </c>
      <c r="L32" s="4" t="n">
        <v>12256</v>
      </c>
      <c r="M32" s="4" t="n">
        <v>4871</v>
      </c>
      <c r="N32" s="4" t="n">
        <v>3490</v>
      </c>
      <c r="O32" s="4" t="n">
        <v>13701</v>
      </c>
      <c r="P32" s="4" t="n">
        <v>3452</v>
      </c>
      <c r="Q32" s="4" t="n">
        <v>357</v>
      </c>
    </row>
    <row r="33" customFormat="false" ht="15" hidden="false" customHeight="false" outlineLevel="0" collapsed="false">
      <c r="A33" s="4" t="s">
        <v>91</v>
      </c>
      <c r="B33" s="4" t="s">
        <v>39</v>
      </c>
      <c r="C33" s="4" t="s">
        <v>92</v>
      </c>
      <c r="D33" s="4" t="s">
        <v>50</v>
      </c>
      <c r="E33" s="4" t="n">
        <v>5138</v>
      </c>
      <c r="F33" s="4" t="n">
        <v>8999</v>
      </c>
      <c r="G33" s="4" t="n">
        <v>9673</v>
      </c>
      <c r="H33" s="4" t="n">
        <v>5706</v>
      </c>
      <c r="I33" s="4" t="n">
        <v>16900</v>
      </c>
      <c r="J33" s="4" t="n">
        <v>8386</v>
      </c>
      <c r="K33" s="4" t="n">
        <v>8434</v>
      </c>
      <c r="L33" s="4" t="n">
        <v>5918</v>
      </c>
      <c r="M33" s="4" t="n">
        <v>4722</v>
      </c>
      <c r="N33" s="4" t="n">
        <v>16884</v>
      </c>
      <c r="O33" s="4" t="n">
        <v>13177</v>
      </c>
      <c r="P33" s="4" t="n">
        <v>4302</v>
      </c>
      <c r="Q33" s="4" t="n">
        <v>251</v>
      </c>
    </row>
    <row r="34" customFormat="false" ht="15" hidden="false" customHeight="false" outlineLevel="0" collapsed="false">
      <c r="A34" s="4" t="s">
        <v>93</v>
      </c>
      <c r="B34" s="4" t="s">
        <v>52</v>
      </c>
      <c r="C34" s="4" t="s">
        <v>94</v>
      </c>
      <c r="D34" s="4" t="s">
        <v>54</v>
      </c>
      <c r="E34" s="4" t="n">
        <v>6796</v>
      </c>
      <c r="F34" s="4" t="n">
        <v>9774</v>
      </c>
      <c r="G34" s="4" t="n">
        <v>7606</v>
      </c>
      <c r="H34" s="4" t="n">
        <v>9404</v>
      </c>
      <c r="I34" s="4" t="n">
        <v>6588</v>
      </c>
      <c r="J34" s="4" t="n">
        <v>10706</v>
      </c>
      <c r="K34" s="4" t="n">
        <v>8332</v>
      </c>
      <c r="L34" s="4" t="n">
        <v>15081</v>
      </c>
      <c r="M34" s="4" t="n">
        <v>15876</v>
      </c>
      <c r="N34" s="4" t="n">
        <v>16116</v>
      </c>
      <c r="O34" s="4" t="n">
        <v>12238</v>
      </c>
      <c r="P34" s="4" t="n">
        <v>16869</v>
      </c>
      <c r="Q34" s="4" t="n">
        <v>94</v>
      </c>
    </row>
    <row r="35" customFormat="false" ht="15" hidden="false" customHeight="false" outlineLevel="0" collapsed="false">
      <c r="A35" s="4" t="s">
        <v>95</v>
      </c>
      <c r="B35" s="4" t="s">
        <v>71</v>
      </c>
      <c r="C35" s="4" t="s">
        <v>72</v>
      </c>
      <c r="D35" s="4" t="s">
        <v>56</v>
      </c>
      <c r="E35" s="4" t="n">
        <v>8286</v>
      </c>
      <c r="F35" s="4" t="n">
        <v>3226</v>
      </c>
      <c r="G35" s="4" t="n">
        <v>15126</v>
      </c>
      <c r="H35" s="4" t="n">
        <v>9419</v>
      </c>
      <c r="I35" s="4" t="n">
        <v>13144</v>
      </c>
      <c r="J35" s="4" t="n">
        <v>12147</v>
      </c>
      <c r="K35" s="4" t="n">
        <v>11286</v>
      </c>
      <c r="L35" s="4" t="n">
        <v>17813</v>
      </c>
      <c r="M35" s="4" t="n">
        <v>8714</v>
      </c>
      <c r="N35" s="4" t="n">
        <v>9424</v>
      </c>
      <c r="O35" s="4" t="n">
        <v>14218</v>
      </c>
      <c r="P35" s="4" t="n">
        <v>5671</v>
      </c>
      <c r="Q35" s="4" t="n">
        <v>383</v>
      </c>
    </row>
    <row r="36" customFormat="false" ht="15" hidden="false" customHeight="false" outlineLevel="0" collapsed="false">
      <c r="A36" s="4" t="s">
        <v>96</v>
      </c>
      <c r="B36" s="4" t="s">
        <v>46</v>
      </c>
      <c r="C36" s="4" t="s">
        <v>61</v>
      </c>
      <c r="D36" s="4" t="s">
        <v>59</v>
      </c>
      <c r="E36" s="4" t="n">
        <v>7997</v>
      </c>
      <c r="F36" s="4" t="n">
        <v>6917</v>
      </c>
      <c r="G36" s="4" t="n">
        <v>4433</v>
      </c>
      <c r="H36" s="4" t="n">
        <v>13027</v>
      </c>
      <c r="I36" s="4" t="n">
        <v>14098</v>
      </c>
      <c r="J36" s="4" t="n">
        <v>8163</v>
      </c>
      <c r="K36" s="4" t="n">
        <v>12518</v>
      </c>
      <c r="L36" s="4" t="n">
        <v>3922</v>
      </c>
      <c r="M36" s="4" t="n">
        <v>11301</v>
      </c>
      <c r="N36" s="4" t="n">
        <v>16100</v>
      </c>
      <c r="O36" s="4" t="n">
        <v>6067</v>
      </c>
      <c r="P36" s="4" t="n">
        <v>12707</v>
      </c>
      <c r="Q36" s="4" t="n">
        <v>91</v>
      </c>
    </row>
    <row r="37" customFormat="false" ht="15" hidden="false" customHeight="false" outlineLevel="0" collapsed="false">
      <c r="A37" s="4" t="s">
        <v>97</v>
      </c>
      <c r="B37" s="4" t="s">
        <v>43</v>
      </c>
      <c r="C37" s="4" t="s">
        <v>72</v>
      </c>
      <c r="D37" s="4" t="s">
        <v>37</v>
      </c>
      <c r="E37" s="4" t="n">
        <v>10941</v>
      </c>
      <c r="F37" s="4" t="n">
        <v>11512</v>
      </c>
      <c r="G37" s="4" t="n">
        <v>14102</v>
      </c>
      <c r="H37" s="4" t="n">
        <v>8290</v>
      </c>
      <c r="I37" s="4" t="n">
        <v>16744</v>
      </c>
      <c r="J37" s="4" t="n">
        <v>7809</v>
      </c>
      <c r="K37" s="4" t="n">
        <v>13412</v>
      </c>
      <c r="L37" s="4" t="n">
        <v>12854</v>
      </c>
      <c r="M37" s="4" t="n">
        <v>10349</v>
      </c>
      <c r="N37" s="4" t="n">
        <v>11932</v>
      </c>
      <c r="O37" s="4" t="n">
        <v>4703</v>
      </c>
      <c r="P37" s="4" t="n">
        <v>7538</v>
      </c>
      <c r="Q37" s="4" t="n">
        <v>339</v>
      </c>
    </row>
    <row r="38" customFormat="false" ht="15" hidden="false" customHeight="false" outlineLevel="0" collapsed="false">
      <c r="A38" s="4" t="s">
        <v>98</v>
      </c>
      <c r="B38" s="4" t="s">
        <v>43</v>
      </c>
      <c r="C38" s="4" t="s">
        <v>61</v>
      </c>
      <c r="D38" s="4" t="s">
        <v>41</v>
      </c>
      <c r="E38" s="4" t="n">
        <v>10296</v>
      </c>
      <c r="F38" s="4" t="n">
        <v>10697</v>
      </c>
      <c r="G38" s="4" t="n">
        <v>15306</v>
      </c>
      <c r="H38" s="4" t="n">
        <v>15394</v>
      </c>
      <c r="I38" s="4" t="n">
        <v>13034</v>
      </c>
      <c r="J38" s="4" t="n">
        <v>17087</v>
      </c>
      <c r="K38" s="4" t="n">
        <v>7741</v>
      </c>
      <c r="L38" s="4" t="n">
        <v>3062</v>
      </c>
      <c r="M38" s="4" t="n">
        <v>4654</v>
      </c>
      <c r="N38" s="4" t="n">
        <v>6708</v>
      </c>
      <c r="O38" s="4" t="n">
        <v>6710</v>
      </c>
      <c r="P38" s="4" t="n">
        <v>12899</v>
      </c>
      <c r="Q38" s="4" t="n">
        <v>337</v>
      </c>
    </row>
    <row r="39" customFormat="false" ht="15" hidden="false" customHeight="false" outlineLevel="0" collapsed="false">
      <c r="A39" s="4" t="s">
        <v>99</v>
      </c>
      <c r="B39" s="4" t="s">
        <v>39</v>
      </c>
      <c r="C39" s="4" t="s">
        <v>94</v>
      </c>
      <c r="D39" s="4" t="s">
        <v>44</v>
      </c>
      <c r="E39" s="4" t="n">
        <v>14738</v>
      </c>
      <c r="F39" s="4" t="n">
        <v>16263</v>
      </c>
      <c r="G39" s="4" t="n">
        <v>9559</v>
      </c>
      <c r="H39" s="4" t="n">
        <v>7949</v>
      </c>
      <c r="I39" s="4" t="n">
        <v>9217</v>
      </c>
      <c r="J39" s="4" t="n">
        <v>16511</v>
      </c>
      <c r="K39" s="4" t="n">
        <v>17714</v>
      </c>
      <c r="L39" s="4" t="n">
        <v>5053</v>
      </c>
      <c r="M39" s="4" t="n">
        <v>5569</v>
      </c>
      <c r="N39" s="4" t="n">
        <v>12001</v>
      </c>
      <c r="O39" s="4" t="n">
        <v>12743</v>
      </c>
      <c r="P39" s="4" t="n">
        <v>16154</v>
      </c>
      <c r="Q39" s="4" t="n">
        <v>306</v>
      </c>
    </row>
    <row r="40" customFormat="false" ht="15" hidden="false" customHeight="false" outlineLevel="0" collapsed="false">
      <c r="A40" s="4" t="s">
        <v>100</v>
      </c>
      <c r="B40" s="4" t="s">
        <v>75</v>
      </c>
      <c r="C40" s="4" t="s">
        <v>64</v>
      </c>
      <c r="D40" s="4" t="s">
        <v>48</v>
      </c>
      <c r="E40" s="4" t="n">
        <v>16550</v>
      </c>
      <c r="F40" s="4" t="n">
        <v>10602</v>
      </c>
      <c r="G40" s="4" t="n">
        <v>14573</v>
      </c>
      <c r="H40" s="4" t="n">
        <v>4336</v>
      </c>
      <c r="I40" s="4" t="n">
        <v>10953</v>
      </c>
      <c r="J40" s="4" t="n">
        <v>15370</v>
      </c>
      <c r="K40" s="4" t="n">
        <v>8571</v>
      </c>
      <c r="L40" s="4" t="n">
        <v>12900</v>
      </c>
      <c r="M40" s="4" t="n">
        <v>8009</v>
      </c>
      <c r="N40" s="4" t="n">
        <v>15630</v>
      </c>
      <c r="O40" s="4" t="n">
        <v>8988</v>
      </c>
      <c r="P40" s="4" t="n">
        <v>16371</v>
      </c>
      <c r="Q40" s="4" t="n">
        <v>156</v>
      </c>
    </row>
    <row r="41" customFormat="false" ht="15" hidden="false" customHeight="false" outlineLevel="0" collapsed="false">
      <c r="A41" s="4" t="s">
        <v>101</v>
      </c>
      <c r="B41" s="4" t="s">
        <v>71</v>
      </c>
      <c r="C41" s="4" t="s">
        <v>68</v>
      </c>
      <c r="D41" s="4" t="s">
        <v>50</v>
      </c>
      <c r="E41" s="4" t="n">
        <v>7528</v>
      </c>
      <c r="F41" s="4" t="n">
        <v>6976</v>
      </c>
      <c r="G41" s="4" t="n">
        <v>6190</v>
      </c>
      <c r="H41" s="4" t="n">
        <v>16988</v>
      </c>
      <c r="I41" s="4" t="n">
        <v>9559</v>
      </c>
      <c r="J41" s="4" t="n">
        <v>6416</v>
      </c>
      <c r="K41" s="4" t="n">
        <v>16192</v>
      </c>
      <c r="L41" s="4" t="n">
        <v>10369</v>
      </c>
      <c r="M41" s="4" t="n">
        <v>7106</v>
      </c>
      <c r="N41" s="4" t="n">
        <v>4517</v>
      </c>
      <c r="O41" s="4" t="n">
        <v>9592</v>
      </c>
      <c r="P41" s="4" t="n">
        <v>7295</v>
      </c>
      <c r="Q41" s="4" t="n">
        <v>175</v>
      </c>
    </row>
    <row r="42" customFormat="false" ht="15" hidden="false" customHeight="false" outlineLevel="0" collapsed="false">
      <c r="A42" s="4" t="s">
        <v>102</v>
      </c>
      <c r="B42" s="4" t="s">
        <v>52</v>
      </c>
      <c r="C42" s="4" t="s">
        <v>53</v>
      </c>
      <c r="D42" s="4" t="s">
        <v>54</v>
      </c>
      <c r="E42" s="4" t="n">
        <v>14794</v>
      </c>
      <c r="F42" s="4" t="n">
        <v>8585</v>
      </c>
      <c r="G42" s="4" t="n">
        <v>16780</v>
      </c>
      <c r="H42" s="4" t="n">
        <v>9803</v>
      </c>
      <c r="I42" s="4" t="n">
        <v>8858</v>
      </c>
      <c r="J42" s="4" t="n">
        <v>16282</v>
      </c>
      <c r="K42" s="4" t="n">
        <v>7095</v>
      </c>
      <c r="L42" s="4" t="n">
        <v>3095</v>
      </c>
      <c r="M42" s="4" t="n">
        <v>15507</v>
      </c>
      <c r="N42" s="4" t="n">
        <v>15808</v>
      </c>
      <c r="O42" s="4" t="n">
        <v>9539</v>
      </c>
      <c r="P42" s="4" t="n">
        <v>12604</v>
      </c>
      <c r="Q42" s="4" t="n">
        <v>376</v>
      </c>
    </row>
    <row r="43" customFormat="false" ht="15" hidden="false" customHeight="false" outlineLevel="0" collapsed="false">
      <c r="A43" s="4" t="s">
        <v>103</v>
      </c>
      <c r="B43" s="4" t="s">
        <v>39</v>
      </c>
      <c r="C43" s="4" t="s">
        <v>53</v>
      </c>
      <c r="D43" s="4" t="s">
        <v>56</v>
      </c>
      <c r="E43" s="4" t="n">
        <v>15953</v>
      </c>
      <c r="F43" s="4" t="n">
        <v>8822</v>
      </c>
      <c r="G43" s="4" t="n">
        <v>4576</v>
      </c>
      <c r="H43" s="4" t="n">
        <v>9365</v>
      </c>
      <c r="I43" s="4" t="n">
        <v>15772</v>
      </c>
      <c r="J43" s="4" t="n">
        <v>9069</v>
      </c>
      <c r="K43" s="4" t="n">
        <v>15178</v>
      </c>
      <c r="L43" s="4" t="n">
        <v>6893</v>
      </c>
      <c r="M43" s="4" t="n">
        <v>10498</v>
      </c>
      <c r="N43" s="4" t="n">
        <v>12031</v>
      </c>
      <c r="O43" s="4" t="n">
        <v>13472</v>
      </c>
      <c r="P43" s="4" t="n">
        <v>14793</v>
      </c>
      <c r="Q43" s="4" t="n">
        <v>255</v>
      </c>
    </row>
    <row r="44" customFormat="false" ht="15" hidden="false" customHeight="false" outlineLevel="0" collapsed="false">
      <c r="A44" s="4" t="s">
        <v>104</v>
      </c>
      <c r="B44" s="4" t="s">
        <v>67</v>
      </c>
      <c r="C44" s="4" t="s">
        <v>94</v>
      </c>
      <c r="D44" s="4" t="s">
        <v>59</v>
      </c>
      <c r="E44" s="4" t="n">
        <v>10698</v>
      </c>
      <c r="F44" s="4" t="n">
        <v>15856</v>
      </c>
      <c r="G44" s="4" t="n">
        <v>6243</v>
      </c>
      <c r="H44" s="4" t="n">
        <v>11551</v>
      </c>
      <c r="I44" s="4" t="n">
        <v>4876</v>
      </c>
      <c r="J44" s="4" t="n">
        <v>4172</v>
      </c>
      <c r="K44" s="4" t="n">
        <v>3476</v>
      </c>
      <c r="L44" s="4" t="n">
        <v>11390</v>
      </c>
      <c r="M44" s="4" t="n">
        <v>2888</v>
      </c>
      <c r="N44" s="4" t="n">
        <v>4565</v>
      </c>
      <c r="O44" s="4" t="n">
        <v>3622</v>
      </c>
      <c r="P44" s="4" t="n">
        <v>10489</v>
      </c>
      <c r="Q44" s="4" t="n">
        <v>178</v>
      </c>
    </row>
    <row r="45" customFormat="false" ht="15" hidden="false" customHeight="false" outlineLevel="0" collapsed="false">
      <c r="A45" s="4" t="s">
        <v>105</v>
      </c>
      <c r="B45" s="4" t="s">
        <v>63</v>
      </c>
      <c r="C45" s="4" t="s">
        <v>36</v>
      </c>
      <c r="D45" s="4" t="s">
        <v>37</v>
      </c>
      <c r="E45" s="4" t="n">
        <v>13837</v>
      </c>
      <c r="F45" s="4" t="n">
        <v>6278</v>
      </c>
      <c r="G45" s="4" t="n">
        <v>15794</v>
      </c>
      <c r="H45" s="4" t="n">
        <v>9137</v>
      </c>
      <c r="I45" s="4" t="n">
        <v>13251</v>
      </c>
      <c r="J45" s="4" t="n">
        <v>5731</v>
      </c>
      <c r="K45" s="4" t="n">
        <v>5686</v>
      </c>
      <c r="L45" s="4" t="n">
        <v>10206</v>
      </c>
      <c r="M45" s="4" t="n">
        <v>12045</v>
      </c>
      <c r="N45" s="4" t="n">
        <v>4244</v>
      </c>
      <c r="O45" s="4" t="n">
        <v>4671</v>
      </c>
      <c r="P45" s="4" t="n">
        <v>5363</v>
      </c>
      <c r="Q45" s="4" t="n">
        <v>260</v>
      </c>
    </row>
    <row r="46" customFormat="false" ht="15" hidden="false" customHeight="false" outlineLevel="0" collapsed="false">
      <c r="A46" s="4" t="s">
        <v>106</v>
      </c>
      <c r="B46" s="4" t="s">
        <v>63</v>
      </c>
      <c r="C46" s="4" t="s">
        <v>68</v>
      </c>
      <c r="D46" s="4" t="s">
        <v>41</v>
      </c>
      <c r="E46" s="4" t="n">
        <v>6924</v>
      </c>
      <c r="F46" s="4" t="n">
        <v>14787</v>
      </c>
      <c r="G46" s="4" t="n">
        <v>6355</v>
      </c>
      <c r="H46" s="4" t="n">
        <v>6346</v>
      </c>
      <c r="I46" s="4" t="n">
        <v>15176</v>
      </c>
      <c r="J46" s="4" t="n">
        <v>7816</v>
      </c>
      <c r="K46" s="4" t="n">
        <v>8439</v>
      </c>
      <c r="L46" s="4" t="n">
        <v>5519</v>
      </c>
      <c r="M46" s="4" t="n">
        <v>4674</v>
      </c>
      <c r="N46" s="4" t="n">
        <v>14993</v>
      </c>
      <c r="O46" s="4" t="n">
        <v>8414</v>
      </c>
      <c r="P46" s="4" t="n">
        <v>2820</v>
      </c>
      <c r="Q46" s="4" t="n">
        <v>394</v>
      </c>
    </row>
    <row r="47" customFormat="false" ht="15" hidden="false" customHeight="false" outlineLevel="0" collapsed="false">
      <c r="A47" s="4" t="s">
        <v>107</v>
      </c>
      <c r="B47" s="4" t="s">
        <v>52</v>
      </c>
      <c r="C47" s="4" t="s">
        <v>92</v>
      </c>
      <c r="D47" s="4" t="s">
        <v>44</v>
      </c>
      <c r="E47" s="4" t="n">
        <v>13015</v>
      </c>
      <c r="F47" s="4" t="n">
        <v>12212</v>
      </c>
      <c r="G47" s="4" t="n">
        <v>8256</v>
      </c>
      <c r="H47" s="4" t="n">
        <v>8486</v>
      </c>
      <c r="I47" s="4" t="n">
        <v>3353</v>
      </c>
      <c r="J47" s="4" t="n">
        <v>11387</v>
      </c>
      <c r="K47" s="4" t="n">
        <v>11179</v>
      </c>
      <c r="L47" s="4" t="n">
        <v>9787</v>
      </c>
      <c r="M47" s="4" t="n">
        <v>16973</v>
      </c>
      <c r="N47" s="4" t="n">
        <v>14227</v>
      </c>
      <c r="O47" s="4" t="n">
        <v>7998</v>
      </c>
      <c r="P47" s="4" t="n">
        <v>4462</v>
      </c>
      <c r="Q47" s="4" t="n">
        <v>250</v>
      </c>
    </row>
    <row r="48" customFormat="false" ht="15" hidden="false" customHeight="false" outlineLevel="0" collapsed="false">
      <c r="A48" s="4" t="s">
        <v>108</v>
      </c>
      <c r="B48" s="4" t="s">
        <v>80</v>
      </c>
      <c r="C48" s="4" t="s">
        <v>47</v>
      </c>
      <c r="D48" s="4" t="s">
        <v>48</v>
      </c>
      <c r="E48" s="4" t="n">
        <v>8897</v>
      </c>
      <c r="F48" s="4" t="n">
        <v>12671</v>
      </c>
      <c r="G48" s="4" t="n">
        <v>7090</v>
      </c>
      <c r="H48" s="4" t="n">
        <v>17127</v>
      </c>
      <c r="I48" s="4" t="n">
        <v>3091</v>
      </c>
      <c r="J48" s="4" t="n">
        <v>16269</v>
      </c>
      <c r="K48" s="4" t="n">
        <v>7519</v>
      </c>
      <c r="L48" s="4" t="n">
        <v>4407</v>
      </c>
      <c r="M48" s="4" t="n">
        <v>8435</v>
      </c>
      <c r="N48" s="4" t="n">
        <v>3084</v>
      </c>
      <c r="O48" s="4" t="n">
        <v>6623</v>
      </c>
      <c r="P48" s="4" t="n">
        <v>17053</v>
      </c>
      <c r="Q48" s="4" t="n">
        <v>139</v>
      </c>
    </row>
    <row r="49" customFormat="false" ht="15" hidden="false" customHeight="false" outlineLevel="0" collapsed="false">
      <c r="A49" s="4" t="s">
        <v>109</v>
      </c>
      <c r="B49" s="4" t="s">
        <v>71</v>
      </c>
      <c r="C49" s="4" t="s">
        <v>53</v>
      </c>
      <c r="D49" s="4" t="s">
        <v>50</v>
      </c>
      <c r="E49" s="4" t="n">
        <v>8728</v>
      </c>
      <c r="F49" s="4" t="n">
        <v>16102</v>
      </c>
      <c r="G49" s="4" t="n">
        <v>8489</v>
      </c>
      <c r="H49" s="4" t="n">
        <v>3296</v>
      </c>
      <c r="I49" s="4" t="n">
        <v>9076</v>
      </c>
      <c r="J49" s="4" t="n">
        <v>16202</v>
      </c>
      <c r="K49" s="4" t="n">
        <v>14266</v>
      </c>
      <c r="L49" s="4" t="n">
        <v>10726</v>
      </c>
      <c r="M49" s="4" t="n">
        <v>3765</v>
      </c>
      <c r="N49" s="4" t="n">
        <v>15541</v>
      </c>
      <c r="O49" s="4" t="n">
        <v>12820</v>
      </c>
      <c r="P49" s="4" t="n">
        <v>12716</v>
      </c>
      <c r="Q49" s="4" t="n">
        <v>403</v>
      </c>
    </row>
    <row r="50" customFormat="false" ht="15" hidden="false" customHeight="false" outlineLevel="0" collapsed="false">
      <c r="A50" s="4" t="s">
        <v>110</v>
      </c>
      <c r="B50" s="4" t="s">
        <v>71</v>
      </c>
      <c r="C50" s="4" t="s">
        <v>61</v>
      </c>
      <c r="D50" s="4" t="s">
        <v>54</v>
      </c>
      <c r="E50" s="4" t="n">
        <v>7802</v>
      </c>
      <c r="F50" s="4" t="n">
        <v>3342</v>
      </c>
      <c r="G50" s="4" t="n">
        <v>16215</v>
      </c>
      <c r="H50" s="4" t="n">
        <v>6756</v>
      </c>
      <c r="I50" s="4" t="n">
        <v>15635</v>
      </c>
      <c r="J50" s="4" t="n">
        <v>7769</v>
      </c>
      <c r="K50" s="4" t="n">
        <v>13974</v>
      </c>
      <c r="L50" s="4" t="n">
        <v>7961</v>
      </c>
      <c r="M50" s="4" t="n">
        <v>14327</v>
      </c>
      <c r="N50" s="4" t="n">
        <v>12053</v>
      </c>
      <c r="O50" s="4" t="n">
        <v>6875</v>
      </c>
      <c r="P50" s="4" t="n">
        <v>12790</v>
      </c>
      <c r="Q50" s="4" t="n">
        <v>69</v>
      </c>
    </row>
    <row r="51" customFormat="false" ht="15" hidden="false" customHeight="false" outlineLevel="0" collapsed="false">
      <c r="A51" s="4" t="s">
        <v>111</v>
      </c>
      <c r="B51" s="4" t="s">
        <v>52</v>
      </c>
      <c r="C51" s="4" t="s">
        <v>53</v>
      </c>
      <c r="D51" s="4" t="s">
        <v>56</v>
      </c>
      <c r="E51" s="4" t="n">
        <v>7952</v>
      </c>
      <c r="F51" s="4" t="n">
        <v>13577</v>
      </c>
      <c r="G51" s="4" t="n">
        <v>17087</v>
      </c>
      <c r="H51" s="4" t="n">
        <v>11495</v>
      </c>
      <c r="I51" s="4" t="n">
        <v>14340</v>
      </c>
      <c r="J51" s="4" t="n">
        <v>4615</v>
      </c>
      <c r="K51" s="4" t="n">
        <v>12175</v>
      </c>
      <c r="L51" s="4" t="n">
        <v>4972</v>
      </c>
      <c r="M51" s="4" t="n">
        <v>12926</v>
      </c>
      <c r="N51" s="4" t="n">
        <v>4714</v>
      </c>
      <c r="O51" s="4" t="n">
        <v>13373</v>
      </c>
      <c r="P51" s="4" t="n">
        <v>7134</v>
      </c>
      <c r="Q51" s="4" t="n">
        <v>345</v>
      </c>
    </row>
    <row r="52" customFormat="false" ht="15" hidden="false" customHeight="false" outlineLevel="0" collapsed="false">
      <c r="A52" s="4" t="s">
        <v>112</v>
      </c>
      <c r="B52" s="4" t="s">
        <v>75</v>
      </c>
      <c r="C52" s="4" t="s">
        <v>40</v>
      </c>
      <c r="D52" s="4" t="s">
        <v>59</v>
      </c>
      <c r="E52" s="4" t="n">
        <v>15597</v>
      </c>
      <c r="F52" s="4" t="n">
        <v>5658</v>
      </c>
      <c r="G52" s="4" t="n">
        <v>11821</v>
      </c>
      <c r="H52" s="4" t="n">
        <v>17309</v>
      </c>
      <c r="I52" s="4" t="n">
        <v>3321</v>
      </c>
      <c r="J52" s="4" t="n">
        <v>3363</v>
      </c>
      <c r="K52" s="4" t="n">
        <v>8893</v>
      </c>
      <c r="L52" s="4" t="n">
        <v>15378</v>
      </c>
      <c r="M52" s="4" t="n">
        <v>5156</v>
      </c>
      <c r="N52" s="4" t="n">
        <v>3742</v>
      </c>
      <c r="O52" s="4" t="n">
        <v>5786</v>
      </c>
      <c r="P52" s="4" t="n">
        <v>10317</v>
      </c>
      <c r="Q52" s="4" t="n">
        <v>157</v>
      </c>
    </row>
    <row r="53" customFormat="false" ht="15" hidden="false" customHeight="false" outlineLevel="0" collapsed="false">
      <c r="A53" s="4" t="s">
        <v>113</v>
      </c>
      <c r="B53" s="4" t="s">
        <v>52</v>
      </c>
      <c r="C53" s="4" t="s">
        <v>47</v>
      </c>
      <c r="D53" s="4" t="s">
        <v>37</v>
      </c>
      <c r="E53" s="4" t="n">
        <v>11660</v>
      </c>
      <c r="F53" s="4" t="n">
        <v>13527</v>
      </c>
      <c r="G53" s="4" t="n">
        <v>13669</v>
      </c>
      <c r="H53" s="4" t="n">
        <v>7886</v>
      </c>
      <c r="I53" s="4" t="n">
        <v>11796</v>
      </c>
      <c r="J53" s="4" t="n">
        <v>4790</v>
      </c>
      <c r="K53" s="4" t="n">
        <v>4689</v>
      </c>
      <c r="L53" s="4" t="n">
        <v>9632</v>
      </c>
      <c r="M53" s="4" t="n">
        <v>3407</v>
      </c>
      <c r="N53" s="4" t="n">
        <v>4278</v>
      </c>
      <c r="O53" s="4" t="n">
        <v>3836</v>
      </c>
      <c r="P53" s="4" t="n">
        <v>9062</v>
      </c>
      <c r="Q53" s="4" t="n">
        <v>227</v>
      </c>
    </row>
    <row r="54" customFormat="false" ht="15" hidden="false" customHeight="false" outlineLevel="0" collapsed="false">
      <c r="A54" s="4" t="s">
        <v>114</v>
      </c>
      <c r="B54" s="4" t="s">
        <v>52</v>
      </c>
      <c r="C54" s="4" t="s">
        <v>47</v>
      </c>
      <c r="D54" s="4" t="s">
        <v>41</v>
      </c>
      <c r="E54" s="4" t="n">
        <v>10166</v>
      </c>
      <c r="F54" s="4" t="n">
        <v>15738</v>
      </c>
      <c r="G54" s="4" t="n">
        <v>14041</v>
      </c>
      <c r="H54" s="4" t="n">
        <v>7105</v>
      </c>
      <c r="I54" s="4" t="n">
        <v>17032</v>
      </c>
      <c r="J54" s="4" t="n">
        <v>8094</v>
      </c>
      <c r="K54" s="4" t="n">
        <v>3424</v>
      </c>
      <c r="L54" s="4" t="n">
        <v>13948</v>
      </c>
      <c r="M54" s="4" t="n">
        <v>12527</v>
      </c>
      <c r="N54" s="4" t="n">
        <v>7030</v>
      </c>
      <c r="O54" s="4" t="n">
        <v>17454</v>
      </c>
      <c r="P54" s="4" t="n">
        <v>11148</v>
      </c>
      <c r="Q54" s="4" t="n">
        <v>269</v>
      </c>
    </row>
    <row r="55" customFormat="false" ht="15" hidden="false" customHeight="false" outlineLevel="0" collapsed="false">
      <c r="A55" s="4" t="s">
        <v>115</v>
      </c>
      <c r="B55" s="4" t="s">
        <v>52</v>
      </c>
      <c r="C55" s="4" t="s">
        <v>36</v>
      </c>
      <c r="D55" s="4" t="s">
        <v>44</v>
      </c>
      <c r="E55" s="4" t="n">
        <v>11572</v>
      </c>
      <c r="F55" s="4" t="n">
        <v>10396</v>
      </c>
      <c r="G55" s="4" t="n">
        <v>16706</v>
      </c>
      <c r="H55" s="4" t="n">
        <v>4201</v>
      </c>
      <c r="I55" s="4" t="n">
        <v>6054</v>
      </c>
      <c r="J55" s="4" t="n">
        <v>16268</v>
      </c>
      <c r="K55" s="4" t="n">
        <v>3821</v>
      </c>
      <c r="L55" s="4" t="n">
        <v>3909</v>
      </c>
      <c r="M55" s="4" t="n">
        <v>15212</v>
      </c>
      <c r="N55" s="4" t="n">
        <v>4830</v>
      </c>
      <c r="O55" s="4" t="n">
        <v>16785</v>
      </c>
      <c r="P55" s="4" t="n">
        <v>14753</v>
      </c>
      <c r="Q55" s="4" t="n">
        <v>196</v>
      </c>
    </row>
    <row r="56" customFormat="false" ht="15" hidden="false" customHeight="false" outlineLevel="0" collapsed="false">
      <c r="A56" s="4" t="s">
        <v>116</v>
      </c>
      <c r="B56" s="4" t="s">
        <v>67</v>
      </c>
      <c r="C56" s="4" t="s">
        <v>61</v>
      </c>
      <c r="D56" s="4" t="s">
        <v>48</v>
      </c>
      <c r="E56" s="4" t="n">
        <v>3894</v>
      </c>
      <c r="F56" s="4" t="n">
        <v>11068</v>
      </c>
      <c r="G56" s="4" t="n">
        <v>8001</v>
      </c>
      <c r="H56" s="4" t="n">
        <v>2919</v>
      </c>
      <c r="I56" s="4" t="n">
        <v>17609</v>
      </c>
      <c r="J56" s="4" t="n">
        <v>16849</v>
      </c>
      <c r="K56" s="4" t="n">
        <v>11748</v>
      </c>
      <c r="L56" s="4" t="n">
        <v>15477</v>
      </c>
      <c r="M56" s="4" t="n">
        <v>8728</v>
      </c>
      <c r="N56" s="4" t="n">
        <v>4705</v>
      </c>
      <c r="O56" s="4" t="n">
        <v>8924</v>
      </c>
      <c r="P56" s="4" t="n">
        <v>10173</v>
      </c>
      <c r="Q56" s="4" t="n">
        <v>283</v>
      </c>
    </row>
    <row r="57" customFormat="false" ht="15" hidden="false" customHeight="false" outlineLevel="0" collapsed="false">
      <c r="A57" s="4" t="s">
        <v>117</v>
      </c>
      <c r="B57" s="4" t="s">
        <v>39</v>
      </c>
      <c r="C57" s="4" t="s">
        <v>92</v>
      </c>
      <c r="D57" s="4" t="s">
        <v>50</v>
      </c>
      <c r="E57" s="4" t="n">
        <v>2822</v>
      </c>
      <c r="F57" s="4" t="n">
        <v>14197</v>
      </c>
      <c r="G57" s="4" t="n">
        <v>13787</v>
      </c>
      <c r="H57" s="4" t="n">
        <v>5540</v>
      </c>
      <c r="I57" s="4" t="n">
        <v>13618</v>
      </c>
      <c r="J57" s="4" t="n">
        <v>17390</v>
      </c>
      <c r="K57" s="4" t="n">
        <v>17173</v>
      </c>
      <c r="L57" s="4" t="n">
        <v>8164</v>
      </c>
      <c r="M57" s="4" t="n">
        <v>3384</v>
      </c>
      <c r="N57" s="4" t="n">
        <v>4734</v>
      </c>
      <c r="O57" s="4" t="n">
        <v>10532</v>
      </c>
      <c r="P57" s="4" t="n">
        <v>3450</v>
      </c>
      <c r="Q57" s="4" t="n">
        <v>227</v>
      </c>
    </row>
    <row r="58" customFormat="false" ht="15" hidden="false" customHeight="false" outlineLevel="0" collapsed="false">
      <c r="A58" s="4" t="s">
        <v>118</v>
      </c>
      <c r="B58" s="4" t="s">
        <v>35</v>
      </c>
      <c r="C58" s="4" t="s">
        <v>90</v>
      </c>
      <c r="D58" s="4" t="s">
        <v>54</v>
      </c>
      <c r="E58" s="4" t="n">
        <v>17990</v>
      </c>
      <c r="F58" s="4" t="n">
        <v>7469</v>
      </c>
      <c r="G58" s="4" t="n">
        <v>5173</v>
      </c>
      <c r="H58" s="4" t="n">
        <v>12577</v>
      </c>
      <c r="I58" s="4" t="n">
        <v>8892</v>
      </c>
      <c r="J58" s="4" t="n">
        <v>10640</v>
      </c>
      <c r="K58" s="4" t="n">
        <v>3075</v>
      </c>
      <c r="L58" s="4" t="n">
        <v>7868</v>
      </c>
      <c r="M58" s="4" t="n">
        <v>3117</v>
      </c>
      <c r="N58" s="4" t="n">
        <v>8755</v>
      </c>
      <c r="O58" s="4" t="n">
        <v>6902</v>
      </c>
      <c r="P58" s="4" t="n">
        <v>15968</v>
      </c>
      <c r="Q58" s="4" t="n">
        <v>180</v>
      </c>
    </row>
    <row r="59" customFormat="false" ht="15" hidden="false" customHeight="false" outlineLevel="0" collapsed="false">
      <c r="A59" s="4" t="s">
        <v>119</v>
      </c>
      <c r="B59" s="4" t="s">
        <v>43</v>
      </c>
      <c r="C59" s="4" t="s">
        <v>36</v>
      </c>
      <c r="D59" s="4" t="s">
        <v>56</v>
      </c>
      <c r="E59" s="4" t="n">
        <v>4820</v>
      </c>
      <c r="F59" s="4" t="n">
        <v>17113</v>
      </c>
      <c r="G59" s="4" t="n">
        <v>3065</v>
      </c>
      <c r="H59" s="4" t="n">
        <v>5297</v>
      </c>
      <c r="I59" s="4" t="n">
        <v>17257</v>
      </c>
      <c r="J59" s="4" t="n">
        <v>15964</v>
      </c>
      <c r="K59" s="4" t="n">
        <v>3655</v>
      </c>
      <c r="L59" s="4" t="n">
        <v>5282</v>
      </c>
      <c r="M59" s="4" t="n">
        <v>5020</v>
      </c>
      <c r="N59" s="4" t="n">
        <v>14961</v>
      </c>
      <c r="O59" s="4" t="n">
        <v>2920</v>
      </c>
      <c r="P59" s="4" t="n">
        <v>12382</v>
      </c>
      <c r="Q59" s="4" t="n">
        <v>106</v>
      </c>
    </row>
    <row r="60" customFormat="false" ht="15" hidden="false" customHeight="false" outlineLevel="0" collapsed="false">
      <c r="A60" s="4" t="s">
        <v>120</v>
      </c>
      <c r="B60" s="4" t="s">
        <v>46</v>
      </c>
      <c r="C60" s="4" t="s">
        <v>64</v>
      </c>
      <c r="D60" s="4" t="s">
        <v>59</v>
      </c>
      <c r="E60" s="4" t="n">
        <v>11881</v>
      </c>
      <c r="F60" s="4" t="n">
        <v>17336</v>
      </c>
      <c r="G60" s="4" t="n">
        <v>17634</v>
      </c>
      <c r="H60" s="4" t="n">
        <v>9339</v>
      </c>
      <c r="I60" s="4" t="n">
        <v>15510</v>
      </c>
      <c r="J60" s="4" t="n">
        <v>12440</v>
      </c>
      <c r="K60" s="4" t="n">
        <v>15182</v>
      </c>
      <c r="L60" s="4" t="n">
        <v>9614</v>
      </c>
      <c r="M60" s="4" t="n">
        <v>10334</v>
      </c>
      <c r="N60" s="4" t="n">
        <v>12807</v>
      </c>
      <c r="O60" s="4" t="n">
        <v>10628</v>
      </c>
      <c r="P60" s="4" t="n">
        <v>14293</v>
      </c>
      <c r="Q60" s="4" t="n">
        <v>263</v>
      </c>
    </row>
    <row r="61" customFormat="false" ht="15" hidden="false" customHeight="false" outlineLevel="0" collapsed="false">
      <c r="A61" s="4" t="s">
        <v>121</v>
      </c>
      <c r="B61" s="4" t="s">
        <v>71</v>
      </c>
      <c r="C61" s="4" t="s">
        <v>94</v>
      </c>
      <c r="D61" s="4" t="s">
        <v>37</v>
      </c>
      <c r="E61" s="4" t="n">
        <v>16197</v>
      </c>
      <c r="F61" s="4" t="n">
        <v>12028</v>
      </c>
      <c r="G61" s="4" t="n">
        <v>8480</v>
      </c>
      <c r="H61" s="4" t="n">
        <v>6706</v>
      </c>
      <c r="I61" s="4" t="n">
        <v>10120</v>
      </c>
      <c r="J61" s="4" t="n">
        <v>13517</v>
      </c>
      <c r="K61" s="4" t="n">
        <v>3690</v>
      </c>
      <c r="L61" s="4" t="n">
        <v>15027</v>
      </c>
      <c r="M61" s="4" t="n">
        <v>15463</v>
      </c>
      <c r="N61" s="4" t="n">
        <v>17409</v>
      </c>
      <c r="O61" s="4" t="n">
        <v>16109</v>
      </c>
      <c r="P61" s="4" t="n">
        <v>10109</v>
      </c>
      <c r="Q61" s="4" t="n">
        <v>100</v>
      </c>
    </row>
    <row r="62" customFormat="false" ht="15" hidden="false" customHeight="false" outlineLevel="0" collapsed="false">
      <c r="A62" s="4" t="s">
        <v>122</v>
      </c>
      <c r="B62" s="4" t="s">
        <v>35</v>
      </c>
      <c r="C62" s="4" t="s">
        <v>64</v>
      </c>
      <c r="D62" s="4" t="s">
        <v>41</v>
      </c>
      <c r="E62" s="4" t="n">
        <v>10630</v>
      </c>
      <c r="F62" s="4" t="n">
        <v>3769</v>
      </c>
      <c r="G62" s="4" t="n">
        <v>4958</v>
      </c>
      <c r="H62" s="4" t="n">
        <v>4291</v>
      </c>
      <c r="I62" s="4" t="n">
        <v>12559</v>
      </c>
      <c r="J62" s="4" t="n">
        <v>6692</v>
      </c>
      <c r="K62" s="4" t="n">
        <v>3910</v>
      </c>
      <c r="L62" s="4" t="n">
        <v>15627</v>
      </c>
      <c r="M62" s="4" t="n">
        <v>3345</v>
      </c>
      <c r="N62" s="4" t="n">
        <v>16839</v>
      </c>
      <c r="O62" s="4" t="n">
        <v>12988</v>
      </c>
      <c r="P62" s="4" t="n">
        <v>4755</v>
      </c>
      <c r="Q62" s="4" t="n">
        <v>294</v>
      </c>
    </row>
    <row r="63" customFormat="false" ht="15" hidden="false" customHeight="false" outlineLevel="0" collapsed="false">
      <c r="A63" s="4" t="s">
        <v>123</v>
      </c>
      <c r="B63" s="4" t="s">
        <v>35</v>
      </c>
      <c r="C63" s="4" t="s">
        <v>36</v>
      </c>
      <c r="D63" s="4" t="s">
        <v>44</v>
      </c>
      <c r="E63" s="4" t="n">
        <v>10836</v>
      </c>
      <c r="F63" s="4" t="n">
        <v>11082</v>
      </c>
      <c r="G63" s="4" t="n">
        <v>13915</v>
      </c>
      <c r="H63" s="4" t="n">
        <v>2921</v>
      </c>
      <c r="I63" s="4" t="n">
        <v>17100</v>
      </c>
      <c r="J63" s="4" t="n">
        <v>4583</v>
      </c>
      <c r="K63" s="4" t="n">
        <v>14825</v>
      </c>
      <c r="L63" s="4" t="n">
        <v>7579</v>
      </c>
      <c r="M63" s="4" t="n">
        <v>12935</v>
      </c>
      <c r="N63" s="4" t="n">
        <v>3470</v>
      </c>
      <c r="O63" s="4" t="n">
        <v>13784</v>
      </c>
      <c r="P63" s="4" t="n">
        <v>4307</v>
      </c>
      <c r="Q63" s="4" t="n">
        <v>171</v>
      </c>
    </row>
    <row r="64" customFormat="false" ht="15" hidden="false" customHeight="false" outlineLevel="0" collapsed="false">
      <c r="A64" s="4" t="s">
        <v>124</v>
      </c>
      <c r="B64" s="4" t="s">
        <v>67</v>
      </c>
      <c r="C64" s="4" t="s">
        <v>64</v>
      </c>
      <c r="D64" s="4" t="s">
        <v>48</v>
      </c>
      <c r="E64" s="4" t="n">
        <v>15398</v>
      </c>
      <c r="F64" s="4" t="n">
        <v>5152</v>
      </c>
      <c r="G64" s="4" t="n">
        <v>12797</v>
      </c>
      <c r="H64" s="4" t="n">
        <v>14469</v>
      </c>
      <c r="I64" s="4" t="n">
        <v>11481</v>
      </c>
      <c r="J64" s="4" t="n">
        <v>11522</v>
      </c>
      <c r="K64" s="4" t="n">
        <v>17304</v>
      </c>
      <c r="L64" s="4" t="n">
        <v>4311</v>
      </c>
      <c r="M64" s="4" t="n">
        <v>13143</v>
      </c>
      <c r="N64" s="4" t="n">
        <v>11284</v>
      </c>
      <c r="O64" s="4" t="n">
        <v>7698</v>
      </c>
      <c r="P64" s="4" t="n">
        <v>16470</v>
      </c>
      <c r="Q64" s="4" t="n">
        <v>254</v>
      </c>
    </row>
  </sheetData>
  <autoFilter ref="A4:Q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</cols>
  <sheetData>
    <row r="1" customFormat="false" ht="15" hidden="false" customHeight="false" outlineLevel="0" collapsed="false">
      <c r="A1" s="3" t="s">
        <v>125</v>
      </c>
      <c r="B1" s="3" t="s">
        <v>126</v>
      </c>
    </row>
    <row r="2" customFormat="false" ht="15" hidden="false" customHeight="false" outlineLevel="0" collapsed="false">
      <c r="A2" s="4" t="s">
        <v>127</v>
      </c>
      <c r="B2" s="4" t="n">
        <f aca="false">COUNTA('Campaign Export'!A:A)-4</f>
        <v>59</v>
      </c>
    </row>
    <row r="3" customFormat="false" ht="15" hidden="false" customHeight="false" outlineLevel="0" collapsed="false">
      <c r="A3" s="4" t="s">
        <v>128</v>
      </c>
      <c r="B3" s="4" t="n">
        <f aca="false">SUM('Campaign Export'!E:P)</f>
        <v>7527459</v>
      </c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"/>
    <col collapsed="false" customWidth="true" hidden="false" outlineLevel="0" max="3" min="3" style="0" width="28"/>
  </cols>
  <sheetData>
    <row r="1" customFormat="false" ht="15" hidden="false" customHeight="false" outlineLevel="0" collapsed="false">
      <c r="A1" s="3" t="s">
        <v>129</v>
      </c>
      <c r="B1" s="3" t="s">
        <v>130</v>
      </c>
      <c r="C1" s="3" t="s">
        <v>131</v>
      </c>
    </row>
    <row r="2" customFormat="false" ht="15" hidden="false" customHeight="false" outlineLevel="0" collapsed="false">
      <c r="A2" s="4" t="s">
        <v>132</v>
      </c>
      <c r="B2" s="5" t="s">
        <v>133</v>
      </c>
      <c r="C2" s="4" t="s">
        <v>134</v>
      </c>
    </row>
    <row r="3" customFormat="false" ht="15" hidden="false" customHeight="false" outlineLevel="0" collapsed="false">
      <c r="A3" s="4" t="s">
        <v>135</v>
      </c>
      <c r="B3" s="5" t="s">
        <v>133</v>
      </c>
      <c r="C3" s="4" t="s">
        <v>134</v>
      </c>
    </row>
    <row r="4" customFormat="false" ht="15" hidden="false" customHeight="false" outlineLevel="0" collapsed="false">
      <c r="A4" s="4" t="s">
        <v>136</v>
      </c>
      <c r="B4" s="5" t="s">
        <v>133</v>
      </c>
      <c r="C4" s="4" t="s">
        <v>134</v>
      </c>
    </row>
    <row r="5" customFormat="false" ht="15" hidden="false" customHeight="false" outlineLevel="0" collapsed="false">
      <c r="A5" s="4" t="s">
        <v>137</v>
      </c>
      <c r="B5" s="5" t="s">
        <v>133</v>
      </c>
      <c r="C5" s="4" t="s">
        <v>134</v>
      </c>
    </row>
    <row r="6" customFormat="false" ht="15" hidden="false" customHeight="false" outlineLevel="0" collapsed="false">
      <c r="A6" s="4" t="s">
        <v>138</v>
      </c>
      <c r="B6" s="5" t="s">
        <v>133</v>
      </c>
      <c r="C6" s="4" t="s">
        <v>134</v>
      </c>
    </row>
    <row r="7" customFormat="false" ht="15" hidden="false" customHeight="false" outlineLevel="0" collapsed="false">
      <c r="A7" s="4" t="s">
        <v>139</v>
      </c>
      <c r="B7" s="5" t="s">
        <v>133</v>
      </c>
      <c r="C7" s="4" t="s">
        <v>134</v>
      </c>
    </row>
    <row r="8" customFormat="false" ht="15" hidden="false" customHeight="false" outlineLevel="0" collapsed="false">
      <c r="A8" s="4" t="s">
        <v>140</v>
      </c>
      <c r="B8" s="5" t="s">
        <v>133</v>
      </c>
      <c r="C8" s="4" t="s">
        <v>134</v>
      </c>
    </row>
    <row r="9" customFormat="false" ht="15" hidden="false" customHeight="false" outlineLevel="0" collapsed="false">
      <c r="A9" s="4" t="s">
        <v>141</v>
      </c>
      <c r="B9" s="5" t="s">
        <v>133</v>
      </c>
      <c r="C9" s="4" t="s">
        <v>134</v>
      </c>
    </row>
    <row r="10" customFormat="false" ht="15" hidden="false" customHeight="false" outlineLevel="0" collapsed="false">
      <c r="A10" s="4" t="s">
        <v>10</v>
      </c>
      <c r="B10" s="5" t="s">
        <v>142</v>
      </c>
      <c r="C10" s="4" t="s">
        <v>11</v>
      </c>
    </row>
  </sheetData>
  <autoFilter ref="A1:C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2026-08-15T06:51:48Z</dcterms:created>
  <dc:creator>openpyxl</dc:creator>
  <dc:description/>
  <dc:language>en-SG</dc:language>
  <cp:lastModifiedBy/>
  <dcterms:modified xsi:type="dcterms:W3CDTF">2026-08-15T06:51:48Z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