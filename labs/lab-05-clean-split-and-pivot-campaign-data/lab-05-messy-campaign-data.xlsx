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enario" sheetId="1" state="visible" r:id="rId3"/>
    <sheet name="Campaign Export" sheetId="2" state="visible" r:id="rId4"/>
    <sheet name="Control" sheetId="3" state="visible" r:id="rId5"/>
  </sheets>
  <definedNames>
    <definedName function="false" hidden="true" localSheetId="1" name="_xlnm._FilterDatabase" vbProcedure="false">'Campaign Export'!$A$4:$Q$64</definedName>
    <definedName function="false" hidden="true" localSheetId="2" name="_xlnm._FilterDatabase" vbProcedure="false">Control!$A$1:$B$3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<sst xmlns="http://schemas.openxmlformats.org/spreadsheetml/2006/main" count="278" uniqueCount="129">
  <si>
    <t xml:space="preserve">Data Visualisation with Tableau</t>
  </si>
  <si>
    <t xml:space="preserve">Lab 5: Clean, Split and Pivot Campaign Data</t>
  </si>
  <si>
    <t xml:space="preserve">Course Code</t>
  </si>
  <si>
    <t xml:space="preserve">TGS-2020503177</t>
  </si>
  <si>
    <t xml:space="preserve">Alignment</t>
  </si>
  <si>
    <t xml:space="preserve">LO3 · K4 · A3</t>
  </si>
  <si>
    <t xml:space="preserve">Business scenario</t>
  </si>
  <si>
    <t xml:space="preserve">A campaign export contains banner rows, compound location codes and monthly measures spread across columns.</t>
  </si>
  <si>
    <t xml:space="preserve">Expected output</t>
  </si>
  <si>
    <t xml:space="preserve">An analysis-ready long table with clean location fields and documented transformation checks.</t>
  </si>
  <si>
    <t xml:space="preserve">Acceptance test</t>
  </si>
  <si>
    <t xml:space="preserve">The transformed data has one row per campaign-month, clean location fields, no blank campaign key and reconciled spend totals.</t>
  </si>
  <si>
    <t xml:space="preserve">Synthetic data</t>
  </si>
  <si>
    <t xml:space="preserve">All organisations, people and transactions are fictional and generated for training.</t>
  </si>
  <si>
    <t xml:space="preserve">Meridian Retail SG Campaign Performance Export</t>
  </si>
  <si>
    <t xml:space="preserve">Generated for training</t>
  </si>
  <si>
    <t xml:space="preserve">Do not use as real operational data</t>
  </si>
  <si>
    <t xml:space="preserve">Campaign Key</t>
  </si>
  <si>
    <t xml:space="preserve">Campaign Name </t>
  </si>
  <si>
    <t xml:space="preserve">Location Code</t>
  </si>
  <si>
    <t xml:space="preserve">Owner</t>
  </si>
  <si>
    <t xml:space="preserve">Jan 2025 Spend</t>
  </si>
  <si>
    <t xml:space="preserve">Feb 2025 Spend</t>
  </si>
  <si>
    <t xml:space="preserve">Mar 2025 Spend</t>
  </si>
  <si>
    <t xml:space="preserve">Apr 2025 Spend</t>
  </si>
  <si>
    <t xml:space="preserve">May 2025 Spend</t>
  </si>
  <si>
    <t xml:space="preserve">Jun 2025 Spend</t>
  </si>
  <si>
    <t xml:space="preserve">Jul 2025 Spend</t>
  </si>
  <si>
    <t xml:space="preserve">Aug 2025 Spend</t>
  </si>
  <si>
    <t xml:space="preserve">Sep 2025 Spend</t>
  </si>
  <si>
    <t xml:space="preserve">Oct 2025 Spend</t>
  </si>
  <si>
    <t xml:space="preserve">Nov 2025 Spend</t>
  </si>
  <si>
    <t xml:space="preserve">Dec 2025 Spend</t>
  </si>
  <si>
    <t xml:space="preserve">Conversions</t>
  </si>
  <si>
    <t xml:space="preserve">CMP-001</t>
  </si>
  <si>
    <t xml:space="preserve"> Great Singapore Sale </t>
  </si>
  <si>
    <t xml:space="preserve">East|Tampines</t>
  </si>
  <si>
    <t xml:space="preserve">Manager 2</t>
  </si>
  <si>
    <t xml:space="preserve">CMP-002</t>
  </si>
  <si>
    <t xml:space="preserve"> Chinese New Year </t>
  </si>
  <si>
    <t xml:space="preserve">East|Paya Lebar</t>
  </si>
  <si>
    <t xml:space="preserve">Manager 3</t>
  </si>
  <si>
    <t xml:space="preserve">CMP-003</t>
  </si>
  <si>
    <t xml:space="preserve"> National Day </t>
  </si>
  <si>
    <t xml:space="preserve">North|Woodlands</t>
  </si>
  <si>
    <t xml:space="preserve">Manager 4</t>
  </si>
  <si>
    <t xml:space="preserve">CMP-004</t>
  </si>
  <si>
    <t xml:space="preserve">GREAT SINGAPORE SALE</t>
  </si>
  <si>
    <t xml:space="preserve">West|Jurong East</t>
  </si>
  <si>
    <t xml:space="preserve">Manager 5</t>
  </si>
  <si>
    <t xml:space="preserve">CMP-005</t>
  </si>
  <si>
    <t xml:space="preserve"> Always On </t>
  </si>
  <si>
    <t xml:space="preserve">Manager 6</t>
  </si>
  <si>
    <t xml:space="preserve">CMP-006</t>
  </si>
  <si>
    <t xml:space="preserve"> Year End </t>
  </si>
  <si>
    <t xml:space="preserve">Manager 7</t>
  </si>
  <si>
    <t xml:space="preserve">CMP-007</t>
  </si>
  <si>
    <t xml:space="preserve">Manager 8</t>
  </si>
  <si>
    <t xml:space="preserve">CMP-008</t>
  </si>
  <si>
    <t xml:space="preserve">ALWAYS ON</t>
  </si>
  <si>
    <t xml:space="preserve">Manager 1</t>
  </si>
  <si>
    <t xml:space="preserve">CMP-009</t>
  </si>
  <si>
    <t xml:space="preserve">West|Clementi</t>
  </si>
  <si>
    <t xml:space="preserve">CMP-010</t>
  </si>
  <si>
    <t xml:space="preserve">Central|Marina Bay</t>
  </si>
  <si>
    <t xml:space="preserve">CMP-011</t>
  </si>
  <si>
    <t xml:space="preserve">CMP-012</t>
  </si>
  <si>
    <t xml:space="preserve">11.11</t>
  </si>
  <si>
    <t xml:space="preserve">CMP-013</t>
  </si>
  <si>
    <t xml:space="preserve"> 11.11 </t>
  </si>
  <si>
    <t xml:space="preserve">Central|Bugis</t>
  </si>
  <si>
    <t xml:space="preserve">CMP-014</t>
  </si>
  <si>
    <t xml:space="preserve">CMP-015</t>
  </si>
  <si>
    <t xml:space="preserve">CMP-016</t>
  </si>
  <si>
    <t xml:space="preserve">Central|Orchard</t>
  </si>
  <si>
    <t xml:space="preserve">CMP-017</t>
  </si>
  <si>
    <t xml:space="preserve">CMP-018</t>
  </si>
  <si>
    <t xml:space="preserve">CMP-019</t>
  </si>
  <si>
    <t xml:space="preserve">CMP-020</t>
  </si>
  <si>
    <t xml:space="preserve">YEAR END</t>
  </si>
  <si>
    <t xml:space="preserve">CMP-021</t>
  </si>
  <si>
    <t xml:space="preserve">CMP-022</t>
  </si>
  <si>
    <t xml:space="preserve">CMP-023</t>
  </si>
  <si>
    <t xml:space="preserve">CMP-024</t>
  </si>
  <si>
    <t xml:space="preserve">CHINESE NEW YEAR</t>
  </si>
  <si>
    <t xml:space="preserve">CMP-025</t>
  </si>
  <si>
    <t xml:space="preserve">CMP-026</t>
  </si>
  <si>
    <t xml:space="preserve">West|Bukit Panjang</t>
  </si>
  <si>
    <t xml:space="preserve">CMP-027</t>
  </si>
  <si>
    <t xml:space="preserve">CMP-028</t>
  </si>
  <si>
    <t xml:space="preserve">CMP-029</t>
  </si>
  <si>
    <t xml:space="preserve">CMP-030</t>
  </si>
  <si>
    <t xml:space="preserve">CMP-031</t>
  </si>
  <si>
    <t xml:space="preserve">CMP-032</t>
  </si>
  <si>
    <t xml:space="preserve">NATIONAL DAY</t>
  </si>
  <si>
    <t xml:space="preserve">CMP-033</t>
  </si>
  <si>
    <t xml:space="preserve">CMP-034</t>
  </si>
  <si>
    <t xml:space="preserve">North|Yishun</t>
  </si>
  <si>
    <t xml:space="preserve">CMP-035</t>
  </si>
  <si>
    <t xml:space="preserve">CMP-036</t>
  </si>
  <si>
    <t xml:space="preserve">CMP-037</t>
  </si>
  <si>
    <t xml:space="preserve">CMP-038</t>
  </si>
  <si>
    <t xml:space="preserve">CMP-039</t>
  </si>
  <si>
    <t xml:space="preserve">CMP-040</t>
  </si>
  <si>
    <t xml:space="preserve">East|Bedok</t>
  </si>
  <si>
    <t xml:space="preserve">CMP-041</t>
  </si>
  <si>
    <t xml:space="preserve">CMP-042</t>
  </si>
  <si>
    <t xml:space="preserve">CMP-043</t>
  </si>
  <si>
    <t xml:space="preserve">CMP-044</t>
  </si>
  <si>
    <t xml:space="preserve">CMP-045</t>
  </si>
  <si>
    <t xml:space="preserve">CMP-046</t>
  </si>
  <si>
    <t xml:space="preserve">CMP-047</t>
  </si>
  <si>
    <t xml:space="preserve">CMP-048</t>
  </si>
  <si>
    <t xml:space="preserve">CMP-049</t>
  </si>
  <si>
    <t xml:space="preserve">CMP-050</t>
  </si>
  <si>
    <t xml:space="preserve">CMP-051</t>
  </si>
  <si>
    <t xml:space="preserve">CMP-052</t>
  </si>
  <si>
    <t xml:space="preserve">CMP-053</t>
  </si>
  <si>
    <t xml:space="preserve">CMP-054</t>
  </si>
  <si>
    <t xml:space="preserve">CMP-055</t>
  </si>
  <si>
    <t xml:space="preserve">CMP-056</t>
  </si>
  <si>
    <t xml:space="preserve">CMP-057</t>
  </si>
  <si>
    <t xml:space="preserve">CMP-058</t>
  </si>
  <si>
    <t xml:space="preserve">CMP-059</t>
  </si>
  <si>
    <t xml:space="preserve">CMP-060</t>
  </si>
  <si>
    <t xml:space="preserve">Control</t>
  </si>
  <si>
    <t xml:space="preserve">Formula</t>
  </si>
  <si>
    <t xml:space="preserve">Campaign count</t>
  </si>
  <si>
    <t xml:space="preserve">Wide spend total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</si>
</sst>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1F6FEB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3"/>
    <col collapsed="false" customWidth="true" hidden="false" outlineLevel="0" max="2" min="2" style="1" width="105"/>
  </cols>
  <sheetData>
    <row r="1" customFormat="false" ht="23.8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3" t="s">
        <v>2</v>
      </c>
      <c r="B2" s="3" t="s">
        <v>3</v>
      </c>
    </row>
    <row r="3" customFormat="false" ht="15" hidden="false" customHeight="false" outlineLevel="0" collapsed="false">
      <c r="A3" s="3" t="s">
        <v>4</v>
      </c>
      <c r="B3" s="3" t="s">
        <v>5</v>
      </c>
    </row>
    <row r="4" customFormat="false" ht="15" hidden="false" customHeight="false" outlineLevel="0" collapsed="false">
      <c r="A4" s="3" t="s">
        <v>6</v>
      </c>
      <c r="B4" s="3" t="s">
        <v>7</v>
      </c>
    </row>
    <row r="5" customFormat="false" ht="15" hidden="false" customHeight="false" outlineLevel="0" collapsed="false">
      <c r="A5" s="3" t="s">
        <v>8</v>
      </c>
      <c r="B5" s="3" t="s">
        <v>9</v>
      </c>
    </row>
    <row r="6" customFormat="false" ht="15" hidden="false" customHeight="false" outlineLevel="0" collapsed="false">
      <c r="A6" s="3" t="s">
        <v>10</v>
      </c>
      <c r="B6" s="3" t="s">
        <v>11</v>
      </c>
    </row>
    <row r="7" customFormat="false" ht="15" hidden="false" customHeight="false" outlineLevel="0" collapsed="false">
      <c r="A7" s="3" t="s">
        <v>12</v>
      </c>
      <c r="B7" s="3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28"/>
    <col collapsed="false" customWidth="true" hidden="false" outlineLevel="0" max="3" min="3" style="1" width="20"/>
    <col collapsed="false" customWidth="true" hidden="false" outlineLevel="0" max="4" min="4" style="1" width="11"/>
    <col collapsed="false" customWidth="true" hidden="false" outlineLevel="0" max="16" min="5" style="1" width="16"/>
    <col collapsed="false" customWidth="true" hidden="false" outlineLevel="0" max="17" min="17" style="1" width="13"/>
  </cols>
  <sheetData>
    <row r="1" customFormat="false" ht="15" hidden="false" customHeight="false" outlineLevel="0" collapsed="false">
      <c r="A1" s="4" t="s">
        <v>14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customFormat="false" ht="15" hidden="false" customHeight="false" outlineLevel="0" collapsed="false">
      <c r="A2" s="5" t="s">
        <v>15</v>
      </c>
      <c r="B2" s="5" t="s">
        <v>16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customFormat="false" ht="15" hidden="false" customHeight="false" outlineLevel="0" collapsed="false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customFormat="false" ht="15" hidden="false" customHeight="false" outlineLevel="0" collapsed="false">
      <c r="A4" s="5" t="s">
        <v>17</v>
      </c>
      <c r="B4" s="5" t="s">
        <v>18</v>
      </c>
      <c r="C4" s="5" t="s">
        <v>19</v>
      </c>
      <c r="D4" s="5" t="s">
        <v>20</v>
      </c>
      <c r="E4" s="5" t="s">
        <v>21</v>
      </c>
      <c r="F4" s="5" t="s">
        <v>22</v>
      </c>
      <c r="G4" s="5" t="s">
        <v>23</v>
      </c>
      <c r="H4" s="5" t="s">
        <v>24</v>
      </c>
      <c r="I4" s="5" t="s">
        <v>25</v>
      </c>
      <c r="J4" s="5" t="s">
        <v>26</v>
      </c>
      <c r="K4" s="5" t="s">
        <v>27</v>
      </c>
      <c r="L4" s="5" t="s">
        <v>28</v>
      </c>
      <c r="M4" s="5" t="s">
        <v>29</v>
      </c>
      <c r="N4" s="5" t="s">
        <v>30</v>
      </c>
      <c r="O4" s="5" t="s">
        <v>31</v>
      </c>
      <c r="P4" s="5" t="s">
        <v>32</v>
      </c>
      <c r="Q4" s="5" t="s">
        <v>33</v>
      </c>
    </row>
    <row r="5" customFormat="false" ht="15" hidden="false" customHeight="false" outlineLevel="0" collapsed="false">
      <c r="A5" s="5" t="s">
        <v>34</v>
      </c>
      <c r="B5" s="5" t="s">
        <v>35</v>
      </c>
      <c r="C5" s="5" t="s">
        <v>36</v>
      </c>
      <c r="D5" s="5" t="s">
        <v>37</v>
      </c>
      <c r="E5" s="5" t="n">
        <v>6339</v>
      </c>
      <c r="F5" s="5" t="n">
        <v>7604</v>
      </c>
      <c r="G5" s="5" t="n">
        <v>12936</v>
      </c>
      <c r="H5" s="5" t="n">
        <v>12416</v>
      </c>
      <c r="I5" s="5" t="n">
        <v>9395</v>
      </c>
      <c r="J5" s="5" t="n">
        <v>8147</v>
      </c>
      <c r="K5" s="5" t="n">
        <v>16033</v>
      </c>
      <c r="L5" s="5" t="n">
        <v>5045</v>
      </c>
      <c r="M5" s="5" t="n">
        <v>15086</v>
      </c>
      <c r="N5" s="5" t="n">
        <v>4629</v>
      </c>
      <c r="O5" s="5" t="n">
        <v>13754</v>
      </c>
      <c r="P5" s="5" t="n">
        <v>11421</v>
      </c>
      <c r="Q5" s="5" t="n">
        <v>131</v>
      </c>
    </row>
    <row r="6" customFormat="false" ht="15" hidden="false" customHeight="false" outlineLevel="0" collapsed="false">
      <c r="A6" s="5" t="s">
        <v>38</v>
      </c>
      <c r="B6" s="5" t="s">
        <v>39</v>
      </c>
      <c r="C6" s="5" t="s">
        <v>40</v>
      </c>
      <c r="D6" s="5" t="s">
        <v>41</v>
      </c>
      <c r="E6" s="5" t="n">
        <v>5892</v>
      </c>
      <c r="F6" s="5" t="n">
        <v>2884</v>
      </c>
      <c r="G6" s="5" t="n">
        <v>14195</v>
      </c>
      <c r="H6" s="5" t="n">
        <v>2949</v>
      </c>
      <c r="I6" s="5" t="n">
        <v>16897</v>
      </c>
      <c r="J6" s="5" t="n">
        <v>5277</v>
      </c>
      <c r="K6" s="5" t="n">
        <v>14925</v>
      </c>
      <c r="L6" s="5" t="n">
        <v>16828</v>
      </c>
      <c r="M6" s="5" t="n">
        <v>4700</v>
      </c>
      <c r="N6" s="5" t="n">
        <v>8193</v>
      </c>
      <c r="O6" s="5" t="n">
        <v>4830</v>
      </c>
      <c r="P6" s="5" t="n">
        <v>13362</v>
      </c>
      <c r="Q6" s="5" t="n">
        <v>88</v>
      </c>
    </row>
    <row r="7" customFormat="false" ht="15" hidden="false" customHeight="false" outlineLevel="0" collapsed="false">
      <c r="A7" s="5" t="s">
        <v>42</v>
      </c>
      <c r="B7" s="5" t="s">
        <v>43</v>
      </c>
      <c r="C7" s="5" t="s">
        <v>44</v>
      </c>
      <c r="D7" s="5" t="s">
        <v>45</v>
      </c>
      <c r="E7" s="5" t="n">
        <v>5858</v>
      </c>
      <c r="F7" s="5" t="n">
        <v>5954</v>
      </c>
      <c r="G7" s="5" t="n">
        <v>15324</v>
      </c>
      <c r="H7" s="5" t="n">
        <v>14207</v>
      </c>
      <c r="I7" s="5" t="n">
        <v>4979</v>
      </c>
      <c r="J7" s="5" t="n">
        <v>4081</v>
      </c>
      <c r="K7" s="5" t="n">
        <v>13853</v>
      </c>
      <c r="L7" s="5" t="n">
        <v>8467</v>
      </c>
      <c r="M7" s="5" t="n">
        <v>5580</v>
      </c>
      <c r="N7" s="5" t="n">
        <v>12519</v>
      </c>
      <c r="O7" s="5" t="n">
        <v>17797</v>
      </c>
      <c r="P7" s="5" t="n">
        <v>6081</v>
      </c>
      <c r="Q7" s="5" t="n">
        <v>252</v>
      </c>
    </row>
    <row r="8" customFormat="false" ht="15" hidden="false" customHeight="false" outlineLevel="0" collapsed="false">
      <c r="A8" s="5" t="s">
        <v>46</v>
      </c>
      <c r="B8" s="5" t="s">
        <v>47</v>
      </c>
      <c r="C8" s="5" t="s">
        <v>48</v>
      </c>
      <c r="D8" s="5" t="s">
        <v>49</v>
      </c>
      <c r="E8" s="5" t="n">
        <v>11473</v>
      </c>
      <c r="F8" s="5" t="n">
        <v>5144</v>
      </c>
      <c r="G8" s="5" t="n">
        <v>5339</v>
      </c>
      <c r="H8" s="5" t="n">
        <v>12514</v>
      </c>
      <c r="I8" s="5" t="n">
        <v>16508</v>
      </c>
      <c r="J8" s="5" t="n">
        <v>5014</v>
      </c>
      <c r="K8" s="5" t="n">
        <v>6461</v>
      </c>
      <c r="L8" s="5" t="n">
        <v>5985</v>
      </c>
      <c r="M8" s="5" t="n">
        <v>10164</v>
      </c>
      <c r="N8" s="5" t="n">
        <v>14804</v>
      </c>
      <c r="O8" s="5" t="n">
        <v>16643</v>
      </c>
      <c r="P8" s="5" t="n">
        <v>3343</v>
      </c>
      <c r="Q8" s="5" t="n">
        <v>52</v>
      </c>
    </row>
    <row r="9" customFormat="false" ht="15" hidden="false" customHeight="false" outlineLevel="0" collapsed="false">
      <c r="A9" s="5" t="s">
        <v>50</v>
      </c>
      <c r="B9" s="5" t="s">
        <v>51</v>
      </c>
      <c r="C9" s="5" t="s">
        <v>48</v>
      </c>
      <c r="D9" s="5" t="s">
        <v>52</v>
      </c>
      <c r="E9" s="5" t="n">
        <v>2801</v>
      </c>
      <c r="F9" s="5" t="n">
        <v>6247</v>
      </c>
      <c r="G9" s="5" t="n">
        <v>9074</v>
      </c>
      <c r="H9" s="5" t="n">
        <v>13289</v>
      </c>
      <c r="I9" s="5" t="n">
        <v>4692</v>
      </c>
      <c r="J9" s="5" t="n">
        <v>5045</v>
      </c>
      <c r="K9" s="5" t="n">
        <v>10013</v>
      </c>
      <c r="L9" s="5" t="n">
        <v>6533</v>
      </c>
      <c r="M9" s="5" t="n">
        <v>11578</v>
      </c>
      <c r="N9" s="5" t="n">
        <v>9395</v>
      </c>
      <c r="O9" s="5" t="n">
        <v>6315</v>
      </c>
      <c r="P9" s="5" t="n">
        <v>9971</v>
      </c>
      <c r="Q9" s="5" t="n">
        <v>142</v>
      </c>
    </row>
    <row r="10" customFormat="false" ht="15" hidden="false" customHeight="false" outlineLevel="0" collapsed="false">
      <c r="A10" s="5" t="s">
        <v>53</v>
      </c>
      <c r="B10" s="5" t="s">
        <v>54</v>
      </c>
      <c r="C10" s="5" t="s">
        <v>36</v>
      </c>
      <c r="D10" s="5" t="s">
        <v>55</v>
      </c>
      <c r="E10" s="5" t="n">
        <v>8123</v>
      </c>
      <c r="F10" s="5" t="n">
        <v>7449</v>
      </c>
      <c r="G10" s="5" t="n">
        <v>9742</v>
      </c>
      <c r="H10" s="5" t="n">
        <v>6967</v>
      </c>
      <c r="I10" s="5" t="n">
        <v>14310</v>
      </c>
      <c r="J10" s="5" t="n">
        <v>10993</v>
      </c>
      <c r="K10" s="5" t="n">
        <v>9070</v>
      </c>
      <c r="L10" s="5" t="n">
        <v>2976</v>
      </c>
      <c r="M10" s="5" t="n">
        <v>14618</v>
      </c>
      <c r="N10" s="5" t="n">
        <v>11203</v>
      </c>
      <c r="O10" s="5" t="n">
        <v>17563</v>
      </c>
      <c r="P10" s="5" t="n">
        <v>3331</v>
      </c>
      <c r="Q10" s="5" t="n">
        <v>266</v>
      </c>
    </row>
    <row r="11" customFormat="false" ht="15" hidden="false" customHeight="false" outlineLevel="0" collapsed="false">
      <c r="A11" s="5" t="s">
        <v>56</v>
      </c>
      <c r="B11" s="5" t="s">
        <v>43</v>
      </c>
      <c r="C11" s="5" t="s">
        <v>44</v>
      </c>
      <c r="D11" s="5" t="s">
        <v>57</v>
      </c>
      <c r="E11" s="5" t="n">
        <v>11249</v>
      </c>
      <c r="F11" s="5" t="n">
        <v>17591</v>
      </c>
      <c r="G11" s="5" t="n">
        <v>16964</v>
      </c>
      <c r="H11" s="5" t="n">
        <v>16724</v>
      </c>
      <c r="I11" s="5" t="n">
        <v>3732</v>
      </c>
      <c r="J11" s="5" t="n">
        <v>3051</v>
      </c>
      <c r="K11" s="5" t="n">
        <v>17209</v>
      </c>
      <c r="L11" s="5" t="n">
        <v>5272</v>
      </c>
      <c r="M11" s="5" t="n">
        <v>16532</v>
      </c>
      <c r="N11" s="5" t="n">
        <v>6643</v>
      </c>
      <c r="O11" s="5" t="n">
        <v>10708</v>
      </c>
      <c r="P11" s="5" t="n">
        <v>4952</v>
      </c>
      <c r="Q11" s="5" t="n">
        <v>225</v>
      </c>
    </row>
    <row r="12" customFormat="false" ht="15" hidden="false" customHeight="false" outlineLevel="0" collapsed="false">
      <c r="A12" s="5" t="s">
        <v>58</v>
      </c>
      <c r="B12" s="5" t="s">
        <v>59</v>
      </c>
      <c r="C12" s="5" t="s">
        <v>40</v>
      </c>
      <c r="D12" s="5" t="s">
        <v>60</v>
      </c>
      <c r="E12" s="5" t="n">
        <v>16742</v>
      </c>
      <c r="F12" s="5" t="n">
        <v>4771</v>
      </c>
      <c r="G12" s="5" t="n">
        <v>7888</v>
      </c>
      <c r="H12" s="5" t="n">
        <v>9596</v>
      </c>
      <c r="I12" s="5" t="n">
        <v>3042</v>
      </c>
      <c r="J12" s="5" t="n">
        <v>9868</v>
      </c>
      <c r="K12" s="5" t="n">
        <v>7753</v>
      </c>
      <c r="L12" s="5" t="n">
        <v>10337</v>
      </c>
      <c r="M12" s="5" t="n">
        <v>12589</v>
      </c>
      <c r="N12" s="5" t="n">
        <v>8028</v>
      </c>
      <c r="O12" s="5" t="n">
        <v>11279</v>
      </c>
      <c r="P12" s="5" t="n">
        <v>3629</v>
      </c>
      <c r="Q12" s="5" t="n">
        <v>193</v>
      </c>
    </row>
    <row r="13" customFormat="false" ht="15" hidden="false" customHeight="false" outlineLevel="0" collapsed="false">
      <c r="A13" s="5" t="s">
        <v>61</v>
      </c>
      <c r="B13" s="5" t="s">
        <v>54</v>
      </c>
      <c r="C13" s="5" t="s">
        <v>62</v>
      </c>
      <c r="D13" s="5" t="s">
        <v>37</v>
      </c>
      <c r="E13" s="5" t="n">
        <v>8316</v>
      </c>
      <c r="F13" s="5" t="n">
        <v>5411</v>
      </c>
      <c r="G13" s="5" t="n">
        <v>10865</v>
      </c>
      <c r="H13" s="5" t="n">
        <v>7300</v>
      </c>
      <c r="I13" s="5" t="n">
        <v>17320</v>
      </c>
      <c r="J13" s="5" t="n">
        <v>13184</v>
      </c>
      <c r="K13" s="5" t="n">
        <v>11232</v>
      </c>
      <c r="L13" s="5" t="n">
        <v>7903</v>
      </c>
      <c r="M13" s="5" t="n">
        <v>11167</v>
      </c>
      <c r="N13" s="5" t="n">
        <v>10802</v>
      </c>
      <c r="O13" s="5" t="n">
        <v>9637</v>
      </c>
      <c r="P13" s="5" t="n">
        <v>13633</v>
      </c>
      <c r="Q13" s="5" t="n">
        <v>388</v>
      </c>
    </row>
    <row r="14" customFormat="false" ht="15" hidden="false" customHeight="false" outlineLevel="0" collapsed="false">
      <c r="A14" s="5" t="s">
        <v>63</v>
      </c>
      <c r="B14" s="5" t="s">
        <v>43</v>
      </c>
      <c r="C14" s="5" t="s">
        <v>64</v>
      </c>
      <c r="D14" s="5" t="s">
        <v>41</v>
      </c>
      <c r="E14" s="5" t="n">
        <v>5920</v>
      </c>
      <c r="F14" s="5" t="n">
        <v>7051</v>
      </c>
      <c r="G14" s="5" t="n">
        <v>10699</v>
      </c>
      <c r="H14" s="5" t="n">
        <v>14689</v>
      </c>
      <c r="I14" s="5" t="n">
        <v>11971</v>
      </c>
      <c r="J14" s="5" t="n">
        <v>5166</v>
      </c>
      <c r="K14" s="5" t="n">
        <v>11454</v>
      </c>
      <c r="L14" s="5" t="n">
        <v>6485</v>
      </c>
      <c r="M14" s="5" t="n">
        <v>8555</v>
      </c>
      <c r="N14" s="5" t="n">
        <v>17765</v>
      </c>
      <c r="O14" s="5" t="n">
        <v>2978</v>
      </c>
      <c r="P14" s="5" t="n">
        <v>3443</v>
      </c>
      <c r="Q14" s="5" t="n">
        <v>145</v>
      </c>
    </row>
    <row r="15" customFormat="false" ht="15" hidden="false" customHeight="false" outlineLevel="0" collapsed="false">
      <c r="A15" s="5" t="s">
        <v>65</v>
      </c>
      <c r="B15" s="5" t="s">
        <v>39</v>
      </c>
      <c r="C15" s="5" t="s">
        <v>64</v>
      </c>
      <c r="D15" s="5" t="s">
        <v>45</v>
      </c>
      <c r="E15" s="5" t="n">
        <v>16239</v>
      </c>
      <c r="F15" s="5" t="n">
        <v>13196</v>
      </c>
      <c r="G15" s="5" t="n">
        <v>4105</v>
      </c>
      <c r="H15" s="5" t="n">
        <v>17076</v>
      </c>
      <c r="I15" s="5" t="n">
        <v>11867</v>
      </c>
      <c r="J15" s="5" t="n">
        <v>14197</v>
      </c>
      <c r="K15" s="5" t="n">
        <v>4224</v>
      </c>
      <c r="L15" s="5" t="n">
        <v>14050</v>
      </c>
      <c r="M15" s="5" t="n">
        <v>14309</v>
      </c>
      <c r="N15" s="5" t="n">
        <v>4756</v>
      </c>
      <c r="O15" s="5" t="n">
        <v>7001</v>
      </c>
      <c r="P15" s="5" t="n">
        <v>12727</v>
      </c>
      <c r="Q15" s="5" t="n">
        <v>374</v>
      </c>
    </row>
    <row r="16" customFormat="false" ht="15" hidden="false" customHeight="false" outlineLevel="0" collapsed="false">
      <c r="A16" s="5" t="s">
        <v>66</v>
      </c>
      <c r="B16" s="5" t="s">
        <v>67</v>
      </c>
      <c r="C16" s="5" t="s">
        <v>40</v>
      </c>
      <c r="D16" s="5" t="s">
        <v>49</v>
      </c>
      <c r="E16" s="5" t="n">
        <v>12256</v>
      </c>
      <c r="F16" s="5" t="n">
        <v>4004</v>
      </c>
      <c r="G16" s="5" t="n">
        <v>5824</v>
      </c>
      <c r="H16" s="5" t="n">
        <v>4647</v>
      </c>
      <c r="I16" s="5" t="n">
        <v>7389</v>
      </c>
      <c r="J16" s="5" t="n">
        <v>17771</v>
      </c>
      <c r="K16" s="5" t="n">
        <v>5143</v>
      </c>
      <c r="L16" s="5" t="n">
        <v>14760</v>
      </c>
      <c r="M16" s="5" t="n">
        <v>12445</v>
      </c>
      <c r="N16" s="5" t="n">
        <v>5498</v>
      </c>
      <c r="O16" s="5" t="n">
        <v>12728</v>
      </c>
      <c r="P16" s="5" t="n">
        <v>17548</v>
      </c>
      <c r="Q16" s="5" t="n">
        <v>373</v>
      </c>
    </row>
    <row r="17" customFormat="false" ht="15" hidden="false" customHeight="false" outlineLevel="0" collapsed="false">
      <c r="A17" s="5" t="s">
        <v>68</v>
      </c>
      <c r="B17" s="5" t="s">
        <v>69</v>
      </c>
      <c r="C17" s="5" t="s">
        <v>70</v>
      </c>
      <c r="D17" s="5" t="s">
        <v>52</v>
      </c>
      <c r="E17" s="5" t="n">
        <v>13230</v>
      </c>
      <c r="F17" s="5" t="n">
        <v>17049</v>
      </c>
      <c r="G17" s="5" t="n">
        <v>10414</v>
      </c>
      <c r="H17" s="5" t="n">
        <v>9454</v>
      </c>
      <c r="I17" s="5" t="n">
        <v>13015</v>
      </c>
      <c r="J17" s="5" t="n">
        <v>6070</v>
      </c>
      <c r="K17" s="5" t="n">
        <v>7381</v>
      </c>
      <c r="L17" s="5" t="n">
        <v>5351</v>
      </c>
      <c r="M17" s="5" t="n">
        <v>17437</v>
      </c>
      <c r="N17" s="5" t="n">
        <v>2933</v>
      </c>
      <c r="O17" s="5" t="n">
        <v>14043</v>
      </c>
      <c r="P17" s="5" t="n">
        <v>7331</v>
      </c>
      <c r="Q17" s="5" t="n">
        <v>213</v>
      </c>
    </row>
    <row r="18" customFormat="false" ht="15" hidden="false" customHeight="false" outlineLevel="0" collapsed="false">
      <c r="A18" s="5" t="s">
        <v>71</v>
      </c>
      <c r="B18" s="5" t="s">
        <v>35</v>
      </c>
      <c r="C18" s="5" t="s">
        <v>62</v>
      </c>
      <c r="D18" s="5" t="s">
        <v>55</v>
      </c>
      <c r="E18" s="5" t="n">
        <v>9911</v>
      </c>
      <c r="F18" s="5" t="n">
        <v>14814</v>
      </c>
      <c r="G18" s="5" t="n">
        <v>15444</v>
      </c>
      <c r="H18" s="5" t="n">
        <v>8954</v>
      </c>
      <c r="I18" s="5" t="n">
        <v>4526</v>
      </c>
      <c r="J18" s="5" t="n">
        <v>5801</v>
      </c>
      <c r="K18" s="5" t="n">
        <v>16699</v>
      </c>
      <c r="L18" s="5" t="n">
        <v>4211</v>
      </c>
      <c r="M18" s="5" t="n">
        <v>17381</v>
      </c>
      <c r="N18" s="5" t="n">
        <v>11654</v>
      </c>
      <c r="O18" s="5" t="n">
        <v>4600</v>
      </c>
      <c r="P18" s="5" t="n">
        <v>13522</v>
      </c>
      <c r="Q18" s="5" t="n">
        <v>70</v>
      </c>
    </row>
    <row r="19" customFormat="false" ht="15" hidden="false" customHeight="false" outlineLevel="0" collapsed="false">
      <c r="A19" s="5" t="s">
        <v>72</v>
      </c>
      <c r="B19" s="5" t="s">
        <v>35</v>
      </c>
      <c r="C19" s="5" t="s">
        <v>44</v>
      </c>
      <c r="D19" s="5" t="s">
        <v>57</v>
      </c>
      <c r="E19" s="5" t="n">
        <v>15142</v>
      </c>
      <c r="F19" s="5" t="n">
        <v>7997</v>
      </c>
      <c r="G19" s="5" t="n">
        <v>15433</v>
      </c>
      <c r="H19" s="5" t="n">
        <v>9841</v>
      </c>
      <c r="I19" s="5" t="n">
        <v>5766</v>
      </c>
      <c r="J19" s="5" t="n">
        <v>9395</v>
      </c>
      <c r="K19" s="5" t="n">
        <v>8138</v>
      </c>
      <c r="L19" s="5" t="n">
        <v>10289</v>
      </c>
      <c r="M19" s="5" t="n">
        <v>4872</v>
      </c>
      <c r="N19" s="5" t="n">
        <v>9869</v>
      </c>
      <c r="O19" s="5" t="n">
        <v>17276</v>
      </c>
      <c r="P19" s="5" t="n">
        <v>11990</v>
      </c>
      <c r="Q19" s="5" t="n">
        <v>374</v>
      </c>
    </row>
    <row r="20" customFormat="false" ht="15" hidden="false" customHeight="false" outlineLevel="0" collapsed="false">
      <c r="A20" s="5" t="s">
        <v>73</v>
      </c>
      <c r="B20" s="5" t="s">
        <v>67</v>
      </c>
      <c r="C20" s="5" t="s">
        <v>74</v>
      </c>
      <c r="D20" s="5" t="s">
        <v>60</v>
      </c>
      <c r="E20" s="5" t="n">
        <v>3796</v>
      </c>
      <c r="F20" s="5" t="n">
        <v>7454</v>
      </c>
      <c r="G20" s="5" t="n">
        <v>3498</v>
      </c>
      <c r="H20" s="5" t="n">
        <v>3651</v>
      </c>
      <c r="I20" s="5" t="n">
        <v>7508</v>
      </c>
      <c r="J20" s="5" t="n">
        <v>17538</v>
      </c>
      <c r="K20" s="5" t="n">
        <v>6427</v>
      </c>
      <c r="L20" s="5" t="n">
        <v>4705</v>
      </c>
      <c r="M20" s="5" t="n">
        <v>4873</v>
      </c>
      <c r="N20" s="5" t="n">
        <v>17199</v>
      </c>
      <c r="O20" s="5" t="n">
        <v>7011</v>
      </c>
      <c r="P20" s="5" t="n">
        <v>5430</v>
      </c>
      <c r="Q20" s="5" t="n">
        <v>288</v>
      </c>
    </row>
    <row r="21" customFormat="false" ht="15" hidden="false" customHeight="false" outlineLevel="0" collapsed="false">
      <c r="A21" s="5" t="s">
        <v>75</v>
      </c>
      <c r="B21" s="5" t="s">
        <v>54</v>
      </c>
      <c r="C21" s="5" t="s">
        <v>44</v>
      </c>
      <c r="D21" s="5" t="s">
        <v>37</v>
      </c>
      <c r="E21" s="5" t="n">
        <v>9962</v>
      </c>
      <c r="F21" s="5" t="n">
        <v>17530</v>
      </c>
      <c r="G21" s="5" t="n">
        <v>4824</v>
      </c>
      <c r="H21" s="5" t="n">
        <v>16239</v>
      </c>
      <c r="I21" s="5" t="n">
        <v>15883</v>
      </c>
      <c r="J21" s="5" t="n">
        <v>6822</v>
      </c>
      <c r="K21" s="5" t="n">
        <v>11657</v>
      </c>
      <c r="L21" s="5" t="n">
        <v>5379</v>
      </c>
      <c r="M21" s="5" t="n">
        <v>5513</v>
      </c>
      <c r="N21" s="5" t="n">
        <v>7055</v>
      </c>
      <c r="O21" s="5" t="n">
        <v>16630</v>
      </c>
      <c r="P21" s="5" t="n">
        <v>3229</v>
      </c>
      <c r="Q21" s="5" t="n">
        <v>402</v>
      </c>
    </row>
    <row r="22" customFormat="false" ht="15" hidden="false" customHeight="false" outlineLevel="0" collapsed="false">
      <c r="A22" s="5" t="s">
        <v>76</v>
      </c>
      <c r="B22" s="5" t="s">
        <v>43</v>
      </c>
      <c r="C22" s="5" t="s">
        <v>74</v>
      </c>
      <c r="D22" s="5" t="s">
        <v>41</v>
      </c>
      <c r="E22" s="5" t="n">
        <v>15411</v>
      </c>
      <c r="F22" s="5" t="n">
        <v>17142</v>
      </c>
      <c r="G22" s="5" t="n">
        <v>14480</v>
      </c>
      <c r="H22" s="5" t="n">
        <v>8380</v>
      </c>
      <c r="I22" s="5" t="n">
        <v>15211</v>
      </c>
      <c r="J22" s="5" t="n">
        <v>4319</v>
      </c>
      <c r="K22" s="5" t="n">
        <v>17097</v>
      </c>
      <c r="L22" s="5" t="n">
        <v>12166</v>
      </c>
      <c r="M22" s="5" t="n">
        <v>14387</v>
      </c>
      <c r="N22" s="5" t="n">
        <v>13254</v>
      </c>
      <c r="O22" s="5" t="n">
        <v>9454</v>
      </c>
      <c r="P22" s="5" t="n">
        <v>10386</v>
      </c>
      <c r="Q22" s="5" t="n">
        <v>54</v>
      </c>
    </row>
    <row r="23" customFormat="false" ht="15" hidden="false" customHeight="false" outlineLevel="0" collapsed="false">
      <c r="A23" s="5" t="s">
        <v>77</v>
      </c>
      <c r="B23" s="5" t="s">
        <v>43</v>
      </c>
      <c r="C23" s="5" t="s">
        <v>70</v>
      </c>
      <c r="D23" s="5" t="s">
        <v>45</v>
      </c>
      <c r="E23" s="5" t="n">
        <v>14619</v>
      </c>
      <c r="F23" s="5" t="n">
        <v>3223</v>
      </c>
      <c r="G23" s="5" t="n">
        <v>4956</v>
      </c>
      <c r="H23" s="5" t="n">
        <v>10346</v>
      </c>
      <c r="I23" s="5" t="n">
        <v>4427</v>
      </c>
      <c r="J23" s="5" t="n">
        <v>12490</v>
      </c>
      <c r="K23" s="5" t="n">
        <v>3716</v>
      </c>
      <c r="L23" s="5" t="n">
        <v>9608</v>
      </c>
      <c r="M23" s="5" t="n">
        <v>14887</v>
      </c>
      <c r="N23" s="5" t="n">
        <v>9099</v>
      </c>
      <c r="O23" s="5" t="n">
        <v>3925</v>
      </c>
      <c r="P23" s="5" t="n">
        <v>6854</v>
      </c>
      <c r="Q23" s="5" t="n">
        <v>94</v>
      </c>
    </row>
    <row r="24" customFormat="false" ht="15" hidden="false" customHeight="false" outlineLevel="0" collapsed="false">
      <c r="A24" s="5" t="s">
        <v>78</v>
      </c>
      <c r="B24" s="5" t="s">
        <v>79</v>
      </c>
      <c r="C24" s="5" t="s">
        <v>74</v>
      </c>
      <c r="D24" s="5" t="s">
        <v>49</v>
      </c>
      <c r="E24" s="5" t="n">
        <v>11547</v>
      </c>
      <c r="F24" s="5" t="n">
        <v>17947</v>
      </c>
      <c r="G24" s="5" t="n">
        <v>13468</v>
      </c>
      <c r="H24" s="5" t="n">
        <v>16700</v>
      </c>
      <c r="I24" s="5" t="n">
        <v>11776</v>
      </c>
      <c r="J24" s="5" t="n">
        <v>16148</v>
      </c>
      <c r="K24" s="5" t="n">
        <v>10383</v>
      </c>
      <c r="L24" s="5" t="n">
        <v>3827</v>
      </c>
      <c r="M24" s="5" t="n">
        <v>3551</v>
      </c>
      <c r="N24" s="5" t="n">
        <v>17055</v>
      </c>
      <c r="O24" s="5" t="n">
        <v>6993</v>
      </c>
      <c r="P24" s="5" t="n">
        <v>10164</v>
      </c>
      <c r="Q24" s="5" t="n">
        <v>67</v>
      </c>
    </row>
    <row r="25" customFormat="false" ht="15" hidden="false" customHeight="false" outlineLevel="0" collapsed="false">
      <c r="A25" s="5" t="s">
        <v>80</v>
      </c>
      <c r="B25" s="5" t="s">
        <v>51</v>
      </c>
      <c r="C25" s="5" t="s">
        <v>64</v>
      </c>
      <c r="D25" s="5" t="s">
        <v>52</v>
      </c>
      <c r="E25" s="5" t="n">
        <v>6512</v>
      </c>
      <c r="F25" s="5" t="n">
        <v>3518</v>
      </c>
      <c r="G25" s="5" t="n">
        <v>17283</v>
      </c>
      <c r="H25" s="5" t="n">
        <v>14742</v>
      </c>
      <c r="I25" s="5" t="n">
        <v>16739</v>
      </c>
      <c r="J25" s="5" t="n">
        <v>17930</v>
      </c>
      <c r="K25" s="5" t="n">
        <v>13310</v>
      </c>
      <c r="L25" s="5" t="n">
        <v>16244</v>
      </c>
      <c r="M25" s="5" t="n">
        <v>11873</v>
      </c>
      <c r="N25" s="5" t="n">
        <v>4971</v>
      </c>
      <c r="O25" s="5" t="n">
        <v>16630</v>
      </c>
      <c r="P25" s="5" t="n">
        <v>7695</v>
      </c>
      <c r="Q25" s="5" t="n">
        <v>51</v>
      </c>
    </row>
    <row r="26" customFormat="false" ht="15" hidden="false" customHeight="false" outlineLevel="0" collapsed="false">
      <c r="A26" s="5" t="s">
        <v>81</v>
      </c>
      <c r="B26" s="5" t="s">
        <v>51</v>
      </c>
      <c r="C26" s="5" t="s">
        <v>44</v>
      </c>
      <c r="D26" s="5" t="s">
        <v>55</v>
      </c>
      <c r="E26" s="5" t="n">
        <v>13855</v>
      </c>
      <c r="F26" s="5" t="n">
        <v>11886</v>
      </c>
      <c r="G26" s="5" t="n">
        <v>12384</v>
      </c>
      <c r="H26" s="5" t="n">
        <v>10530</v>
      </c>
      <c r="I26" s="5" t="n">
        <v>6408</v>
      </c>
      <c r="J26" s="5" t="n">
        <v>3087</v>
      </c>
      <c r="K26" s="5" t="n">
        <v>15055</v>
      </c>
      <c r="L26" s="5" t="n">
        <v>8521</v>
      </c>
      <c r="M26" s="5" t="n">
        <v>17012</v>
      </c>
      <c r="N26" s="5" t="n">
        <v>14789</v>
      </c>
      <c r="O26" s="5" t="n">
        <v>10042</v>
      </c>
      <c r="P26" s="5" t="n">
        <v>5770</v>
      </c>
      <c r="Q26" s="5" t="n">
        <v>62</v>
      </c>
    </row>
    <row r="27" customFormat="false" ht="15" hidden="false" customHeight="false" outlineLevel="0" collapsed="false">
      <c r="A27" s="5" t="s">
        <v>82</v>
      </c>
      <c r="B27" s="5" t="s">
        <v>51</v>
      </c>
      <c r="C27" s="5" t="s">
        <v>64</v>
      </c>
      <c r="D27" s="5" t="s">
        <v>57</v>
      </c>
      <c r="E27" s="5" t="n">
        <v>9825</v>
      </c>
      <c r="F27" s="5" t="n">
        <v>6579</v>
      </c>
      <c r="G27" s="5" t="n">
        <v>14308</v>
      </c>
      <c r="H27" s="5" t="n">
        <v>16235</v>
      </c>
      <c r="I27" s="5" t="n">
        <v>12732</v>
      </c>
      <c r="J27" s="5" t="n">
        <v>7776</v>
      </c>
      <c r="K27" s="5" t="n">
        <v>4790</v>
      </c>
      <c r="L27" s="5" t="n">
        <v>6591</v>
      </c>
      <c r="M27" s="5" t="n">
        <v>15577</v>
      </c>
      <c r="N27" s="5" t="n">
        <v>9982</v>
      </c>
      <c r="O27" s="5" t="n">
        <v>13344</v>
      </c>
      <c r="P27" s="5" t="n">
        <v>9232</v>
      </c>
      <c r="Q27" s="5" t="n">
        <v>301</v>
      </c>
    </row>
    <row r="28" customFormat="false" ht="15" hidden="false" customHeight="false" outlineLevel="0" collapsed="false">
      <c r="A28" s="5" t="s">
        <v>83</v>
      </c>
      <c r="B28" s="5" t="s">
        <v>84</v>
      </c>
      <c r="C28" s="5" t="s">
        <v>44</v>
      </c>
      <c r="D28" s="5" t="s">
        <v>60</v>
      </c>
      <c r="E28" s="5" t="n">
        <v>4423</v>
      </c>
      <c r="F28" s="5" t="n">
        <v>16661</v>
      </c>
      <c r="G28" s="5" t="n">
        <v>9632</v>
      </c>
      <c r="H28" s="5" t="n">
        <v>9480</v>
      </c>
      <c r="I28" s="5" t="n">
        <v>16439</v>
      </c>
      <c r="J28" s="5" t="n">
        <v>12148</v>
      </c>
      <c r="K28" s="5" t="n">
        <v>5898</v>
      </c>
      <c r="L28" s="5" t="n">
        <v>17234</v>
      </c>
      <c r="M28" s="5" t="n">
        <v>7425</v>
      </c>
      <c r="N28" s="5" t="n">
        <v>16496</v>
      </c>
      <c r="O28" s="5" t="n">
        <v>3249</v>
      </c>
      <c r="P28" s="5" t="n">
        <v>10409</v>
      </c>
      <c r="Q28" s="5" t="n">
        <v>59</v>
      </c>
    </row>
    <row r="29" customFormat="false" ht="15" hidden="false" customHeight="false" outlineLevel="0" collapsed="false">
      <c r="A29" s="5" t="s">
        <v>85</v>
      </c>
      <c r="B29" s="5" t="s">
        <v>54</v>
      </c>
      <c r="C29" s="5" t="s">
        <v>74</v>
      </c>
      <c r="D29" s="5" t="s">
        <v>37</v>
      </c>
      <c r="E29" s="5" t="n">
        <v>6742</v>
      </c>
      <c r="F29" s="5" t="n">
        <v>4630</v>
      </c>
      <c r="G29" s="5" t="n">
        <v>3497</v>
      </c>
      <c r="H29" s="5" t="n">
        <v>7516</v>
      </c>
      <c r="I29" s="5" t="n">
        <v>13171</v>
      </c>
      <c r="J29" s="5" t="n">
        <v>9853</v>
      </c>
      <c r="K29" s="5" t="n">
        <v>16760</v>
      </c>
      <c r="L29" s="5" t="n">
        <v>10190</v>
      </c>
      <c r="M29" s="5" t="n">
        <v>2921</v>
      </c>
      <c r="N29" s="5" t="n">
        <v>3028</v>
      </c>
      <c r="O29" s="5" t="n">
        <v>12889</v>
      </c>
      <c r="P29" s="5" t="n">
        <v>14770</v>
      </c>
      <c r="Q29" s="5" t="n">
        <v>277</v>
      </c>
    </row>
    <row r="30" customFormat="false" ht="15" hidden="false" customHeight="false" outlineLevel="0" collapsed="false">
      <c r="A30" s="5" t="s">
        <v>86</v>
      </c>
      <c r="B30" s="5" t="s">
        <v>69</v>
      </c>
      <c r="C30" s="5" t="s">
        <v>87</v>
      </c>
      <c r="D30" s="5" t="s">
        <v>41</v>
      </c>
      <c r="E30" s="5" t="n">
        <v>14757</v>
      </c>
      <c r="F30" s="5" t="n">
        <v>7606</v>
      </c>
      <c r="G30" s="5" t="n">
        <v>7206</v>
      </c>
      <c r="H30" s="5" t="n">
        <v>5265</v>
      </c>
      <c r="I30" s="5" t="n">
        <v>3745</v>
      </c>
      <c r="J30" s="5" t="n">
        <v>16577</v>
      </c>
      <c r="K30" s="5" t="n">
        <v>14558</v>
      </c>
      <c r="L30" s="5" t="n">
        <v>16751</v>
      </c>
      <c r="M30" s="5" t="n">
        <v>13720</v>
      </c>
      <c r="N30" s="5" t="n">
        <v>3843</v>
      </c>
      <c r="O30" s="5" t="n">
        <v>10986</v>
      </c>
      <c r="P30" s="5" t="n">
        <v>6814</v>
      </c>
      <c r="Q30" s="5" t="n">
        <v>69</v>
      </c>
    </row>
    <row r="31" customFormat="false" ht="15" hidden="false" customHeight="false" outlineLevel="0" collapsed="false">
      <c r="A31" s="5" t="s">
        <v>88</v>
      </c>
      <c r="B31" s="5" t="s">
        <v>51</v>
      </c>
      <c r="C31" s="5" t="s">
        <v>62</v>
      </c>
      <c r="D31" s="5" t="s">
        <v>45</v>
      </c>
      <c r="E31" s="5" t="n">
        <v>15499</v>
      </c>
      <c r="F31" s="5" t="n">
        <v>13440</v>
      </c>
      <c r="G31" s="5" t="n">
        <v>10426</v>
      </c>
      <c r="H31" s="5" t="n">
        <v>5097</v>
      </c>
      <c r="I31" s="5" t="n">
        <v>15860</v>
      </c>
      <c r="J31" s="5" t="n">
        <v>13543</v>
      </c>
      <c r="K31" s="5" t="n">
        <v>8909</v>
      </c>
      <c r="L31" s="5" t="n">
        <v>14548</v>
      </c>
      <c r="M31" s="5" t="n">
        <v>10057</v>
      </c>
      <c r="N31" s="5" t="n">
        <v>15358</v>
      </c>
      <c r="O31" s="5" t="n">
        <v>6490</v>
      </c>
      <c r="P31" s="5" t="n">
        <v>7590</v>
      </c>
      <c r="Q31" s="5" t="n">
        <v>104</v>
      </c>
    </row>
    <row r="32" customFormat="false" ht="15" hidden="false" customHeight="false" outlineLevel="0" collapsed="false">
      <c r="A32" s="5" t="s">
        <v>89</v>
      </c>
      <c r="B32" s="5" t="s">
        <v>47</v>
      </c>
      <c r="C32" s="5" t="s">
        <v>64</v>
      </c>
      <c r="D32" s="5" t="s">
        <v>49</v>
      </c>
      <c r="E32" s="5" t="n">
        <v>17289</v>
      </c>
      <c r="F32" s="5" t="n">
        <v>9892</v>
      </c>
      <c r="G32" s="5" t="n">
        <v>15870</v>
      </c>
      <c r="H32" s="5" t="n">
        <v>17340</v>
      </c>
      <c r="I32" s="5" t="n">
        <v>7905</v>
      </c>
      <c r="J32" s="5" t="n">
        <v>14938</v>
      </c>
      <c r="K32" s="5" t="n">
        <v>16824</v>
      </c>
      <c r="L32" s="5" t="n">
        <v>14885</v>
      </c>
      <c r="M32" s="5" t="n">
        <v>15654</v>
      </c>
      <c r="N32" s="5" t="n">
        <v>8842</v>
      </c>
      <c r="O32" s="5" t="n">
        <v>2829</v>
      </c>
      <c r="P32" s="5" t="n">
        <v>4794</v>
      </c>
      <c r="Q32" s="5" t="n">
        <v>162</v>
      </c>
    </row>
    <row r="33" customFormat="false" ht="15" hidden="false" customHeight="false" outlineLevel="0" collapsed="false">
      <c r="A33" s="5" t="s">
        <v>90</v>
      </c>
      <c r="B33" s="5" t="s">
        <v>35</v>
      </c>
      <c r="C33" s="5" t="s">
        <v>70</v>
      </c>
      <c r="D33" s="5" t="s">
        <v>52</v>
      </c>
      <c r="E33" s="5" t="n">
        <v>3917</v>
      </c>
      <c r="F33" s="5" t="n">
        <v>4605</v>
      </c>
      <c r="G33" s="5" t="n">
        <v>11276</v>
      </c>
      <c r="H33" s="5" t="n">
        <v>12179</v>
      </c>
      <c r="I33" s="5" t="n">
        <v>7373</v>
      </c>
      <c r="J33" s="5" t="n">
        <v>12544</v>
      </c>
      <c r="K33" s="5" t="n">
        <v>10919</v>
      </c>
      <c r="L33" s="5" t="n">
        <v>17183</v>
      </c>
      <c r="M33" s="5" t="n">
        <v>17580</v>
      </c>
      <c r="N33" s="5" t="n">
        <v>5935</v>
      </c>
      <c r="O33" s="5" t="n">
        <v>10193</v>
      </c>
      <c r="P33" s="5" t="n">
        <v>3726</v>
      </c>
      <c r="Q33" s="5" t="n">
        <v>56</v>
      </c>
    </row>
    <row r="34" customFormat="false" ht="15" hidden="false" customHeight="false" outlineLevel="0" collapsed="false">
      <c r="A34" s="5" t="s">
        <v>91</v>
      </c>
      <c r="B34" s="5" t="s">
        <v>54</v>
      </c>
      <c r="C34" s="5" t="s">
        <v>44</v>
      </c>
      <c r="D34" s="5" t="s">
        <v>55</v>
      </c>
      <c r="E34" s="5" t="n">
        <v>12735</v>
      </c>
      <c r="F34" s="5" t="n">
        <v>14089</v>
      </c>
      <c r="G34" s="5" t="n">
        <v>16583</v>
      </c>
      <c r="H34" s="5" t="n">
        <v>6383</v>
      </c>
      <c r="I34" s="5" t="n">
        <v>6554</v>
      </c>
      <c r="J34" s="5" t="n">
        <v>16341</v>
      </c>
      <c r="K34" s="5" t="n">
        <v>11926</v>
      </c>
      <c r="L34" s="5" t="n">
        <v>4313</v>
      </c>
      <c r="M34" s="5" t="n">
        <v>8305</v>
      </c>
      <c r="N34" s="5" t="n">
        <v>14882</v>
      </c>
      <c r="O34" s="5" t="n">
        <v>14915</v>
      </c>
      <c r="P34" s="5" t="n">
        <v>17937</v>
      </c>
      <c r="Q34" s="5" t="n">
        <v>67</v>
      </c>
    </row>
    <row r="35" customFormat="false" ht="15" hidden="false" customHeight="false" outlineLevel="0" collapsed="false">
      <c r="A35" s="5" t="s">
        <v>92</v>
      </c>
      <c r="B35" s="5" t="s">
        <v>43</v>
      </c>
      <c r="C35" s="5" t="s">
        <v>40</v>
      </c>
      <c r="D35" s="5" t="s">
        <v>57</v>
      </c>
      <c r="E35" s="5" t="n">
        <v>6818</v>
      </c>
      <c r="F35" s="5" t="n">
        <v>15275</v>
      </c>
      <c r="G35" s="5" t="n">
        <v>16220</v>
      </c>
      <c r="H35" s="5" t="n">
        <v>9772</v>
      </c>
      <c r="I35" s="5" t="n">
        <v>3588</v>
      </c>
      <c r="J35" s="5" t="n">
        <v>10547</v>
      </c>
      <c r="K35" s="5" t="n">
        <v>10736</v>
      </c>
      <c r="L35" s="5" t="n">
        <v>9441</v>
      </c>
      <c r="M35" s="5" t="n">
        <v>3922</v>
      </c>
      <c r="N35" s="5" t="n">
        <v>13363</v>
      </c>
      <c r="O35" s="5" t="n">
        <v>9375</v>
      </c>
      <c r="P35" s="5" t="n">
        <v>16577</v>
      </c>
      <c r="Q35" s="5" t="n">
        <v>67</v>
      </c>
    </row>
    <row r="36" customFormat="false" ht="15" hidden="false" customHeight="false" outlineLevel="0" collapsed="false">
      <c r="A36" s="5" t="s">
        <v>93</v>
      </c>
      <c r="B36" s="5" t="s">
        <v>94</v>
      </c>
      <c r="C36" s="5" t="s">
        <v>44</v>
      </c>
      <c r="D36" s="5" t="s">
        <v>60</v>
      </c>
      <c r="E36" s="5" t="n">
        <v>3303</v>
      </c>
      <c r="F36" s="5" t="n">
        <v>13604</v>
      </c>
      <c r="G36" s="5" t="n">
        <v>7829</v>
      </c>
      <c r="H36" s="5" t="n">
        <v>6321</v>
      </c>
      <c r="I36" s="5" t="n">
        <v>4999</v>
      </c>
      <c r="J36" s="5" t="n">
        <v>5538</v>
      </c>
      <c r="K36" s="5" t="n">
        <v>4139</v>
      </c>
      <c r="L36" s="5" t="n">
        <v>11575</v>
      </c>
      <c r="M36" s="5" t="n">
        <v>14597</v>
      </c>
      <c r="N36" s="5" t="n">
        <v>2950</v>
      </c>
      <c r="O36" s="5" t="n">
        <v>11401</v>
      </c>
      <c r="P36" s="5" t="n">
        <v>8604</v>
      </c>
      <c r="Q36" s="5" t="n">
        <v>304</v>
      </c>
    </row>
    <row r="37" customFormat="false" ht="15" hidden="false" customHeight="false" outlineLevel="0" collapsed="false">
      <c r="A37" s="5" t="s">
        <v>95</v>
      </c>
      <c r="B37" s="5" t="s">
        <v>69</v>
      </c>
      <c r="C37" s="5" t="s">
        <v>36</v>
      </c>
      <c r="D37" s="5" t="s">
        <v>37</v>
      </c>
      <c r="E37" s="5" t="n">
        <v>10792</v>
      </c>
      <c r="F37" s="5" t="n">
        <v>11717</v>
      </c>
      <c r="G37" s="5" t="n">
        <v>3992</v>
      </c>
      <c r="H37" s="5" t="n">
        <v>16138</v>
      </c>
      <c r="I37" s="5" t="n">
        <v>17693</v>
      </c>
      <c r="J37" s="5" t="n">
        <v>14130</v>
      </c>
      <c r="K37" s="5" t="n">
        <v>10862</v>
      </c>
      <c r="L37" s="5" t="n">
        <v>4149</v>
      </c>
      <c r="M37" s="5" t="n">
        <v>3079</v>
      </c>
      <c r="N37" s="5" t="n">
        <v>10929</v>
      </c>
      <c r="O37" s="5" t="n">
        <v>12051</v>
      </c>
      <c r="P37" s="5" t="n">
        <v>12818</v>
      </c>
      <c r="Q37" s="5" t="n">
        <v>372</v>
      </c>
    </row>
    <row r="38" customFormat="false" ht="15" hidden="false" customHeight="false" outlineLevel="0" collapsed="false">
      <c r="A38" s="5" t="s">
        <v>96</v>
      </c>
      <c r="B38" s="5" t="s">
        <v>51</v>
      </c>
      <c r="C38" s="5" t="s">
        <v>97</v>
      </c>
      <c r="D38" s="5" t="s">
        <v>41</v>
      </c>
      <c r="E38" s="5" t="n">
        <v>10301</v>
      </c>
      <c r="F38" s="5" t="n">
        <v>16556</v>
      </c>
      <c r="G38" s="5" t="n">
        <v>11617</v>
      </c>
      <c r="H38" s="5" t="n">
        <v>7621</v>
      </c>
      <c r="I38" s="5" t="n">
        <v>3794</v>
      </c>
      <c r="J38" s="5" t="n">
        <v>12826</v>
      </c>
      <c r="K38" s="5" t="n">
        <v>6893</v>
      </c>
      <c r="L38" s="5" t="n">
        <v>4691</v>
      </c>
      <c r="M38" s="5" t="n">
        <v>7400</v>
      </c>
      <c r="N38" s="5" t="n">
        <v>15878</v>
      </c>
      <c r="O38" s="5" t="n">
        <v>6460</v>
      </c>
      <c r="P38" s="5" t="n">
        <v>6106</v>
      </c>
      <c r="Q38" s="5" t="n">
        <v>162</v>
      </c>
    </row>
    <row r="39" customFormat="false" ht="15" hidden="false" customHeight="false" outlineLevel="0" collapsed="false">
      <c r="A39" s="5" t="s">
        <v>98</v>
      </c>
      <c r="B39" s="5" t="s">
        <v>51</v>
      </c>
      <c r="C39" s="5" t="s">
        <v>44</v>
      </c>
      <c r="D39" s="5" t="s">
        <v>45</v>
      </c>
      <c r="E39" s="5" t="n">
        <v>6373</v>
      </c>
      <c r="F39" s="5" t="n">
        <v>7019</v>
      </c>
      <c r="G39" s="5" t="n">
        <v>10524</v>
      </c>
      <c r="H39" s="5" t="n">
        <v>16083</v>
      </c>
      <c r="I39" s="5" t="n">
        <v>7709</v>
      </c>
      <c r="J39" s="5" t="n">
        <v>14870</v>
      </c>
      <c r="K39" s="5" t="n">
        <v>16241</v>
      </c>
      <c r="L39" s="5" t="n">
        <v>4167</v>
      </c>
      <c r="M39" s="5" t="n">
        <v>8914</v>
      </c>
      <c r="N39" s="5" t="n">
        <v>8980</v>
      </c>
      <c r="O39" s="5" t="n">
        <v>14126</v>
      </c>
      <c r="P39" s="5" t="n">
        <v>2888</v>
      </c>
      <c r="Q39" s="5" t="n">
        <v>366</v>
      </c>
    </row>
    <row r="40" customFormat="false" ht="15" hidden="false" customHeight="false" outlineLevel="0" collapsed="false">
      <c r="A40" s="5" t="s">
        <v>99</v>
      </c>
      <c r="B40" s="5" t="s">
        <v>94</v>
      </c>
      <c r="C40" s="5" t="s">
        <v>62</v>
      </c>
      <c r="D40" s="5" t="s">
        <v>49</v>
      </c>
      <c r="E40" s="5" t="n">
        <v>6596</v>
      </c>
      <c r="F40" s="5" t="n">
        <v>11045</v>
      </c>
      <c r="G40" s="5" t="n">
        <v>3179</v>
      </c>
      <c r="H40" s="5" t="n">
        <v>3720</v>
      </c>
      <c r="I40" s="5" t="n">
        <v>10248</v>
      </c>
      <c r="J40" s="5" t="n">
        <v>9983</v>
      </c>
      <c r="K40" s="5" t="n">
        <v>9885</v>
      </c>
      <c r="L40" s="5" t="n">
        <v>5806</v>
      </c>
      <c r="M40" s="5" t="n">
        <v>16285</v>
      </c>
      <c r="N40" s="5" t="n">
        <v>11449</v>
      </c>
      <c r="O40" s="5" t="n">
        <v>16118</v>
      </c>
      <c r="P40" s="5" t="n">
        <v>14549</v>
      </c>
      <c r="Q40" s="5" t="n">
        <v>90</v>
      </c>
    </row>
    <row r="41" customFormat="false" ht="15" hidden="false" customHeight="false" outlineLevel="0" collapsed="false">
      <c r="A41" s="5" t="s">
        <v>100</v>
      </c>
      <c r="B41" s="5" t="s">
        <v>39</v>
      </c>
      <c r="C41" s="5" t="s">
        <v>87</v>
      </c>
      <c r="D41" s="5" t="s">
        <v>52</v>
      </c>
      <c r="E41" s="5" t="n">
        <v>8262</v>
      </c>
      <c r="F41" s="5" t="n">
        <v>15735</v>
      </c>
      <c r="G41" s="5" t="n">
        <v>5102</v>
      </c>
      <c r="H41" s="5" t="n">
        <v>5262</v>
      </c>
      <c r="I41" s="5" t="n">
        <v>16062</v>
      </c>
      <c r="J41" s="5" t="n">
        <v>13488</v>
      </c>
      <c r="K41" s="5" t="n">
        <v>7814</v>
      </c>
      <c r="L41" s="5" t="n">
        <v>5200</v>
      </c>
      <c r="M41" s="5" t="n">
        <v>12298</v>
      </c>
      <c r="N41" s="5" t="n">
        <v>7619</v>
      </c>
      <c r="O41" s="5" t="n">
        <v>5054</v>
      </c>
      <c r="P41" s="5" t="n">
        <v>10557</v>
      </c>
      <c r="Q41" s="5" t="n">
        <v>120</v>
      </c>
    </row>
    <row r="42" customFormat="false" ht="15" hidden="false" customHeight="false" outlineLevel="0" collapsed="false">
      <c r="A42" s="5" t="s">
        <v>101</v>
      </c>
      <c r="B42" s="5" t="s">
        <v>69</v>
      </c>
      <c r="C42" s="5" t="s">
        <v>62</v>
      </c>
      <c r="D42" s="5" t="s">
        <v>55</v>
      </c>
      <c r="E42" s="5" t="n">
        <v>6453</v>
      </c>
      <c r="F42" s="5" t="n">
        <v>13028</v>
      </c>
      <c r="G42" s="5" t="n">
        <v>4558</v>
      </c>
      <c r="H42" s="5" t="n">
        <v>9140</v>
      </c>
      <c r="I42" s="5" t="n">
        <v>16048</v>
      </c>
      <c r="J42" s="5" t="n">
        <v>11522</v>
      </c>
      <c r="K42" s="5" t="n">
        <v>17164</v>
      </c>
      <c r="L42" s="5" t="n">
        <v>7754</v>
      </c>
      <c r="M42" s="5" t="n">
        <v>11292</v>
      </c>
      <c r="N42" s="5" t="n">
        <v>9606</v>
      </c>
      <c r="O42" s="5" t="n">
        <v>11000</v>
      </c>
      <c r="P42" s="5" t="n">
        <v>14201</v>
      </c>
      <c r="Q42" s="5" t="n">
        <v>350</v>
      </c>
    </row>
    <row r="43" customFormat="false" ht="15" hidden="false" customHeight="false" outlineLevel="0" collapsed="false">
      <c r="A43" s="5" t="s">
        <v>102</v>
      </c>
      <c r="B43" s="5" t="s">
        <v>43</v>
      </c>
      <c r="C43" s="5" t="s">
        <v>87</v>
      </c>
      <c r="D43" s="5" t="s">
        <v>57</v>
      </c>
      <c r="E43" s="5" t="n">
        <v>10528</v>
      </c>
      <c r="F43" s="5" t="n">
        <v>3062</v>
      </c>
      <c r="G43" s="5" t="n">
        <v>13366</v>
      </c>
      <c r="H43" s="5" t="n">
        <v>15827</v>
      </c>
      <c r="I43" s="5" t="n">
        <v>14628</v>
      </c>
      <c r="J43" s="5" t="n">
        <v>10054</v>
      </c>
      <c r="K43" s="5" t="n">
        <v>7896</v>
      </c>
      <c r="L43" s="5" t="n">
        <v>8839</v>
      </c>
      <c r="M43" s="5" t="n">
        <v>5721</v>
      </c>
      <c r="N43" s="5" t="n">
        <v>5235</v>
      </c>
      <c r="O43" s="5" t="n">
        <v>14122</v>
      </c>
      <c r="P43" s="5" t="n">
        <v>8742</v>
      </c>
      <c r="Q43" s="5" t="n">
        <v>74</v>
      </c>
    </row>
    <row r="44" customFormat="false" ht="15" hidden="false" customHeight="false" outlineLevel="0" collapsed="false">
      <c r="A44" s="5" t="s">
        <v>103</v>
      </c>
      <c r="B44" s="5" t="s">
        <v>79</v>
      </c>
      <c r="C44" s="5" t="s">
        <v>104</v>
      </c>
      <c r="D44" s="5" t="s">
        <v>60</v>
      </c>
      <c r="E44" s="5" t="n">
        <v>14575</v>
      </c>
      <c r="F44" s="5" t="n">
        <v>13862</v>
      </c>
      <c r="G44" s="5" t="n">
        <v>6773</v>
      </c>
      <c r="H44" s="5" t="n">
        <v>17295</v>
      </c>
      <c r="I44" s="5" t="n">
        <v>10150</v>
      </c>
      <c r="J44" s="5" t="n">
        <v>9455</v>
      </c>
      <c r="K44" s="5" t="n">
        <v>10342</v>
      </c>
      <c r="L44" s="5" t="n">
        <v>3592</v>
      </c>
      <c r="M44" s="5" t="n">
        <v>11504</v>
      </c>
      <c r="N44" s="5" t="n">
        <v>16136</v>
      </c>
      <c r="O44" s="5" t="n">
        <v>11527</v>
      </c>
      <c r="P44" s="5" t="n">
        <v>6946</v>
      </c>
      <c r="Q44" s="5" t="n">
        <v>118</v>
      </c>
    </row>
    <row r="45" customFormat="false" ht="15" hidden="false" customHeight="false" outlineLevel="0" collapsed="false">
      <c r="A45" s="5" t="s">
        <v>105</v>
      </c>
      <c r="B45" s="5" t="s">
        <v>39</v>
      </c>
      <c r="C45" s="5" t="s">
        <v>104</v>
      </c>
      <c r="D45" s="5" t="s">
        <v>37</v>
      </c>
      <c r="E45" s="5" t="n">
        <v>14685</v>
      </c>
      <c r="F45" s="5" t="n">
        <v>16803</v>
      </c>
      <c r="G45" s="5" t="n">
        <v>11913</v>
      </c>
      <c r="H45" s="5" t="n">
        <v>8005</v>
      </c>
      <c r="I45" s="5" t="n">
        <v>12989</v>
      </c>
      <c r="J45" s="5" t="n">
        <v>16491</v>
      </c>
      <c r="K45" s="5" t="n">
        <v>11619</v>
      </c>
      <c r="L45" s="5" t="n">
        <v>13167</v>
      </c>
      <c r="M45" s="5" t="n">
        <v>13024</v>
      </c>
      <c r="N45" s="5" t="n">
        <v>15548</v>
      </c>
      <c r="O45" s="5" t="n">
        <v>9863</v>
      </c>
      <c r="P45" s="5" t="n">
        <v>4125</v>
      </c>
      <c r="Q45" s="5" t="n">
        <v>179</v>
      </c>
    </row>
    <row r="46" customFormat="false" ht="15" hidden="false" customHeight="false" outlineLevel="0" collapsed="false">
      <c r="A46" s="5" t="s">
        <v>106</v>
      </c>
      <c r="B46" s="5" t="s">
        <v>39</v>
      </c>
      <c r="C46" s="5" t="s">
        <v>40</v>
      </c>
      <c r="D46" s="5" t="s">
        <v>41</v>
      </c>
      <c r="E46" s="5" t="n">
        <v>15412</v>
      </c>
      <c r="F46" s="5" t="n">
        <v>15936</v>
      </c>
      <c r="G46" s="5" t="n">
        <v>7556</v>
      </c>
      <c r="H46" s="5" t="n">
        <v>16550</v>
      </c>
      <c r="I46" s="5" t="n">
        <v>6789</v>
      </c>
      <c r="J46" s="5" t="n">
        <v>13563</v>
      </c>
      <c r="K46" s="5" t="n">
        <v>3973</v>
      </c>
      <c r="L46" s="5" t="n">
        <v>16162</v>
      </c>
      <c r="M46" s="5" t="n">
        <v>4352</v>
      </c>
      <c r="N46" s="5" t="n">
        <v>9384</v>
      </c>
      <c r="O46" s="5" t="n">
        <v>5837</v>
      </c>
      <c r="P46" s="5" t="n">
        <v>5095</v>
      </c>
      <c r="Q46" s="5" t="n">
        <v>103</v>
      </c>
    </row>
    <row r="47" customFormat="false" ht="15" hidden="false" customHeight="false" outlineLevel="0" collapsed="false">
      <c r="A47" s="5" t="s">
        <v>107</v>
      </c>
      <c r="B47" s="5" t="s">
        <v>51</v>
      </c>
      <c r="C47" s="5" t="s">
        <v>70</v>
      </c>
      <c r="D47" s="5" t="s">
        <v>45</v>
      </c>
      <c r="E47" s="5" t="n">
        <v>10171</v>
      </c>
      <c r="F47" s="5" t="n">
        <v>4032</v>
      </c>
      <c r="G47" s="5" t="n">
        <v>11249</v>
      </c>
      <c r="H47" s="5" t="n">
        <v>5957</v>
      </c>
      <c r="I47" s="5" t="n">
        <v>11354</v>
      </c>
      <c r="J47" s="5" t="n">
        <v>12489</v>
      </c>
      <c r="K47" s="5" t="n">
        <v>8134</v>
      </c>
      <c r="L47" s="5" t="n">
        <v>3523</v>
      </c>
      <c r="M47" s="5" t="n">
        <v>16066</v>
      </c>
      <c r="N47" s="5" t="n">
        <v>15404</v>
      </c>
      <c r="O47" s="5" t="n">
        <v>3349</v>
      </c>
      <c r="P47" s="5" t="n">
        <v>15854</v>
      </c>
      <c r="Q47" s="5" t="n">
        <v>265</v>
      </c>
    </row>
    <row r="48" customFormat="false" ht="15" hidden="false" customHeight="false" outlineLevel="0" collapsed="false">
      <c r="A48" s="5" t="s">
        <v>108</v>
      </c>
      <c r="B48" s="5" t="s">
        <v>84</v>
      </c>
      <c r="C48" s="5" t="s">
        <v>87</v>
      </c>
      <c r="D48" s="5" t="s">
        <v>49</v>
      </c>
      <c r="E48" s="5" t="n">
        <v>5424</v>
      </c>
      <c r="F48" s="5" t="n">
        <v>11945</v>
      </c>
      <c r="G48" s="5" t="n">
        <v>6443</v>
      </c>
      <c r="H48" s="5" t="n">
        <v>16248</v>
      </c>
      <c r="I48" s="5" t="n">
        <v>11460</v>
      </c>
      <c r="J48" s="5" t="n">
        <v>7094</v>
      </c>
      <c r="K48" s="5" t="n">
        <v>16847</v>
      </c>
      <c r="L48" s="5" t="n">
        <v>13662</v>
      </c>
      <c r="M48" s="5" t="n">
        <v>12929</v>
      </c>
      <c r="N48" s="5" t="n">
        <v>16631</v>
      </c>
      <c r="O48" s="5" t="n">
        <v>10679</v>
      </c>
      <c r="P48" s="5" t="n">
        <v>8383</v>
      </c>
      <c r="Q48" s="5" t="n">
        <v>147</v>
      </c>
    </row>
    <row r="49" customFormat="false" ht="15" hidden="false" customHeight="false" outlineLevel="0" collapsed="false">
      <c r="A49" s="5" t="s">
        <v>109</v>
      </c>
      <c r="B49" s="5" t="s">
        <v>69</v>
      </c>
      <c r="C49" s="5" t="s">
        <v>40</v>
      </c>
      <c r="D49" s="5" t="s">
        <v>52</v>
      </c>
      <c r="E49" s="5" t="n">
        <v>11537</v>
      </c>
      <c r="F49" s="5" t="n">
        <v>17138</v>
      </c>
      <c r="G49" s="5" t="n">
        <v>9370</v>
      </c>
      <c r="H49" s="5" t="n">
        <v>8892</v>
      </c>
      <c r="I49" s="5" t="n">
        <v>15170</v>
      </c>
      <c r="J49" s="5" t="n">
        <v>6232</v>
      </c>
      <c r="K49" s="5" t="n">
        <v>7571</v>
      </c>
      <c r="L49" s="5" t="n">
        <v>8020</v>
      </c>
      <c r="M49" s="5" t="n">
        <v>3081</v>
      </c>
      <c r="N49" s="5" t="n">
        <v>11269</v>
      </c>
      <c r="O49" s="5" t="n">
        <v>12060</v>
      </c>
      <c r="P49" s="5" t="n">
        <v>13386</v>
      </c>
      <c r="Q49" s="5" t="n">
        <v>245</v>
      </c>
    </row>
    <row r="50" customFormat="false" ht="15" hidden="false" customHeight="false" outlineLevel="0" collapsed="false">
      <c r="A50" s="5" t="s">
        <v>110</v>
      </c>
      <c r="B50" s="5" t="s">
        <v>51</v>
      </c>
      <c r="C50" s="5" t="s">
        <v>64</v>
      </c>
      <c r="D50" s="5" t="s">
        <v>55</v>
      </c>
      <c r="E50" s="5" t="n">
        <v>13469</v>
      </c>
      <c r="F50" s="5" t="n">
        <v>12748</v>
      </c>
      <c r="G50" s="5" t="n">
        <v>10027</v>
      </c>
      <c r="H50" s="5" t="n">
        <v>11566</v>
      </c>
      <c r="I50" s="5" t="n">
        <v>6889</v>
      </c>
      <c r="J50" s="5" t="n">
        <v>15189</v>
      </c>
      <c r="K50" s="5" t="n">
        <v>6708</v>
      </c>
      <c r="L50" s="5" t="n">
        <v>6213</v>
      </c>
      <c r="M50" s="5" t="n">
        <v>11297</v>
      </c>
      <c r="N50" s="5" t="n">
        <v>11519</v>
      </c>
      <c r="O50" s="5" t="n">
        <v>12671</v>
      </c>
      <c r="P50" s="5" t="n">
        <v>11331</v>
      </c>
      <c r="Q50" s="5" t="n">
        <v>101</v>
      </c>
    </row>
    <row r="51" customFormat="false" ht="15" hidden="false" customHeight="false" outlineLevel="0" collapsed="false">
      <c r="A51" s="5" t="s">
        <v>111</v>
      </c>
      <c r="B51" s="5" t="s">
        <v>51</v>
      </c>
      <c r="C51" s="5" t="s">
        <v>44</v>
      </c>
      <c r="D51" s="5" t="s">
        <v>57</v>
      </c>
      <c r="E51" s="5" t="n">
        <v>11398</v>
      </c>
      <c r="F51" s="5" t="n">
        <v>14311</v>
      </c>
      <c r="G51" s="5" t="n">
        <v>12499</v>
      </c>
      <c r="H51" s="5" t="n">
        <v>16107</v>
      </c>
      <c r="I51" s="5" t="n">
        <v>9571</v>
      </c>
      <c r="J51" s="5" t="n">
        <v>4683</v>
      </c>
      <c r="K51" s="5" t="n">
        <v>10981</v>
      </c>
      <c r="L51" s="5" t="n">
        <v>15425</v>
      </c>
      <c r="M51" s="5" t="n">
        <v>14587</v>
      </c>
      <c r="N51" s="5" t="n">
        <v>10756</v>
      </c>
      <c r="O51" s="5" t="n">
        <v>10911</v>
      </c>
      <c r="P51" s="5" t="n">
        <v>4829</v>
      </c>
      <c r="Q51" s="5" t="n">
        <v>262</v>
      </c>
    </row>
    <row r="52" customFormat="false" ht="15" hidden="false" customHeight="false" outlineLevel="0" collapsed="false">
      <c r="A52" s="5" t="s">
        <v>112</v>
      </c>
      <c r="B52" s="5" t="s">
        <v>94</v>
      </c>
      <c r="C52" s="5" t="s">
        <v>44</v>
      </c>
      <c r="D52" s="5" t="s">
        <v>60</v>
      </c>
      <c r="E52" s="5" t="n">
        <v>10791</v>
      </c>
      <c r="F52" s="5" t="n">
        <v>8066</v>
      </c>
      <c r="G52" s="5" t="n">
        <v>13985</v>
      </c>
      <c r="H52" s="5" t="n">
        <v>9430</v>
      </c>
      <c r="I52" s="5" t="n">
        <v>7434</v>
      </c>
      <c r="J52" s="5" t="n">
        <v>11790</v>
      </c>
      <c r="K52" s="5" t="n">
        <v>3721</v>
      </c>
      <c r="L52" s="5" t="n">
        <v>5089</v>
      </c>
      <c r="M52" s="5" t="n">
        <v>15304</v>
      </c>
      <c r="N52" s="5" t="n">
        <v>9035</v>
      </c>
      <c r="O52" s="5" t="n">
        <v>11505</v>
      </c>
      <c r="P52" s="5" t="n">
        <v>3911</v>
      </c>
      <c r="Q52" s="5" t="n">
        <v>140</v>
      </c>
    </row>
    <row r="53" customFormat="false" ht="15" hidden="false" customHeight="false" outlineLevel="0" collapsed="false">
      <c r="A53" s="5" t="s">
        <v>113</v>
      </c>
      <c r="B53" s="5" t="s">
        <v>43</v>
      </c>
      <c r="C53" s="5" t="s">
        <v>70</v>
      </c>
      <c r="D53" s="5" t="s">
        <v>37</v>
      </c>
      <c r="E53" s="5" t="n">
        <v>17808</v>
      </c>
      <c r="F53" s="5" t="n">
        <v>14928</v>
      </c>
      <c r="G53" s="5" t="n">
        <v>17792</v>
      </c>
      <c r="H53" s="5" t="n">
        <v>11115</v>
      </c>
      <c r="I53" s="5" t="n">
        <v>8595</v>
      </c>
      <c r="J53" s="5" t="n">
        <v>12009</v>
      </c>
      <c r="K53" s="5" t="n">
        <v>8263</v>
      </c>
      <c r="L53" s="5" t="n">
        <v>14400</v>
      </c>
      <c r="M53" s="5" t="n">
        <v>16040</v>
      </c>
      <c r="N53" s="5" t="n">
        <v>4997</v>
      </c>
      <c r="O53" s="5" t="n">
        <v>11404</v>
      </c>
      <c r="P53" s="5" t="n">
        <v>12868</v>
      </c>
      <c r="Q53" s="5" t="n">
        <v>132</v>
      </c>
    </row>
    <row r="54" customFormat="false" ht="15" hidden="false" customHeight="false" outlineLevel="0" collapsed="false">
      <c r="A54" s="5" t="s">
        <v>114</v>
      </c>
      <c r="B54" s="5" t="s">
        <v>39</v>
      </c>
      <c r="C54" s="5" t="s">
        <v>62</v>
      </c>
      <c r="D54" s="5" t="s">
        <v>41</v>
      </c>
      <c r="E54" s="5" t="n">
        <v>15829</v>
      </c>
      <c r="F54" s="5" t="n">
        <v>7035</v>
      </c>
      <c r="G54" s="5" t="n">
        <v>12653</v>
      </c>
      <c r="H54" s="5" t="n">
        <v>14554</v>
      </c>
      <c r="I54" s="5" t="n">
        <v>6491</v>
      </c>
      <c r="J54" s="5" t="n">
        <v>16857</v>
      </c>
      <c r="K54" s="5" t="n">
        <v>14308</v>
      </c>
      <c r="L54" s="5" t="n">
        <v>17861</v>
      </c>
      <c r="M54" s="5" t="n">
        <v>5977</v>
      </c>
      <c r="N54" s="5" t="n">
        <v>6912</v>
      </c>
      <c r="O54" s="5" t="n">
        <v>5129</v>
      </c>
      <c r="P54" s="5" t="n">
        <v>11358</v>
      </c>
      <c r="Q54" s="5" t="n">
        <v>317</v>
      </c>
    </row>
    <row r="55" customFormat="false" ht="15" hidden="false" customHeight="false" outlineLevel="0" collapsed="false">
      <c r="A55" s="5" t="s">
        <v>115</v>
      </c>
      <c r="B55" s="5" t="s">
        <v>69</v>
      </c>
      <c r="C55" s="5" t="s">
        <v>64</v>
      </c>
      <c r="D55" s="5" t="s">
        <v>45</v>
      </c>
      <c r="E55" s="5" t="n">
        <v>8130</v>
      </c>
      <c r="F55" s="5" t="n">
        <v>15967</v>
      </c>
      <c r="G55" s="5" t="n">
        <v>14224</v>
      </c>
      <c r="H55" s="5" t="n">
        <v>13900</v>
      </c>
      <c r="I55" s="5" t="n">
        <v>11585</v>
      </c>
      <c r="J55" s="5" t="n">
        <v>6586</v>
      </c>
      <c r="K55" s="5" t="n">
        <v>17178</v>
      </c>
      <c r="L55" s="5" t="n">
        <v>14255</v>
      </c>
      <c r="M55" s="5" t="n">
        <v>17187</v>
      </c>
      <c r="N55" s="5" t="n">
        <v>14228</v>
      </c>
      <c r="O55" s="5" t="n">
        <v>9109</v>
      </c>
      <c r="P55" s="5" t="n">
        <v>9475</v>
      </c>
      <c r="Q55" s="5" t="n">
        <v>97</v>
      </c>
    </row>
    <row r="56" customFormat="false" ht="15" hidden="false" customHeight="false" outlineLevel="0" collapsed="false">
      <c r="A56" s="5" t="s">
        <v>116</v>
      </c>
      <c r="B56" s="5" t="s">
        <v>47</v>
      </c>
      <c r="C56" s="5" t="s">
        <v>70</v>
      </c>
      <c r="D56" s="5" t="s">
        <v>49</v>
      </c>
      <c r="E56" s="5" t="n">
        <v>11929</v>
      </c>
      <c r="F56" s="5" t="n">
        <v>16401</v>
      </c>
      <c r="G56" s="5" t="n">
        <v>9730</v>
      </c>
      <c r="H56" s="5" t="n">
        <v>9130</v>
      </c>
      <c r="I56" s="5" t="n">
        <v>17707</v>
      </c>
      <c r="J56" s="5" t="n">
        <v>3129</v>
      </c>
      <c r="K56" s="5" t="n">
        <v>17312</v>
      </c>
      <c r="L56" s="5" t="n">
        <v>4150</v>
      </c>
      <c r="M56" s="5" t="n">
        <v>12633</v>
      </c>
      <c r="N56" s="5" t="n">
        <v>17327</v>
      </c>
      <c r="O56" s="5" t="n">
        <v>17114</v>
      </c>
      <c r="P56" s="5" t="n">
        <v>14338</v>
      </c>
      <c r="Q56" s="5" t="n">
        <v>119</v>
      </c>
    </row>
    <row r="57" customFormat="false" ht="15" hidden="false" customHeight="false" outlineLevel="0" collapsed="false">
      <c r="A57" s="5" t="s">
        <v>117</v>
      </c>
      <c r="B57" s="5" t="s">
        <v>54</v>
      </c>
      <c r="C57" s="5" t="s">
        <v>48</v>
      </c>
      <c r="D57" s="5" t="s">
        <v>52</v>
      </c>
      <c r="E57" s="5" t="n">
        <v>16343</v>
      </c>
      <c r="F57" s="5" t="n">
        <v>9924</v>
      </c>
      <c r="G57" s="5" t="n">
        <v>3656</v>
      </c>
      <c r="H57" s="5" t="n">
        <v>11009</v>
      </c>
      <c r="I57" s="5" t="n">
        <v>8564</v>
      </c>
      <c r="J57" s="5" t="n">
        <v>3133</v>
      </c>
      <c r="K57" s="5" t="n">
        <v>14247</v>
      </c>
      <c r="L57" s="5" t="n">
        <v>17499</v>
      </c>
      <c r="M57" s="5" t="n">
        <v>9938</v>
      </c>
      <c r="N57" s="5" t="n">
        <v>4327</v>
      </c>
      <c r="O57" s="5" t="n">
        <v>4099</v>
      </c>
      <c r="P57" s="5" t="n">
        <v>10517</v>
      </c>
      <c r="Q57" s="5" t="n">
        <v>64</v>
      </c>
    </row>
    <row r="58" customFormat="false" ht="15" hidden="false" customHeight="false" outlineLevel="0" collapsed="false">
      <c r="A58" s="5" t="s">
        <v>118</v>
      </c>
      <c r="B58" s="5" t="s">
        <v>54</v>
      </c>
      <c r="C58" s="5" t="s">
        <v>104</v>
      </c>
      <c r="D58" s="5" t="s">
        <v>55</v>
      </c>
      <c r="E58" s="5" t="n">
        <v>13792</v>
      </c>
      <c r="F58" s="5" t="n">
        <v>6129</v>
      </c>
      <c r="G58" s="5" t="n">
        <v>11520</v>
      </c>
      <c r="H58" s="5" t="n">
        <v>5951</v>
      </c>
      <c r="I58" s="5" t="n">
        <v>16546</v>
      </c>
      <c r="J58" s="5" t="n">
        <v>9890</v>
      </c>
      <c r="K58" s="5" t="n">
        <v>4746</v>
      </c>
      <c r="L58" s="5" t="n">
        <v>3775</v>
      </c>
      <c r="M58" s="5" t="n">
        <v>10526</v>
      </c>
      <c r="N58" s="5" t="n">
        <v>15183</v>
      </c>
      <c r="O58" s="5" t="n">
        <v>14239</v>
      </c>
      <c r="P58" s="5" t="n">
        <v>12546</v>
      </c>
      <c r="Q58" s="5" t="n">
        <v>79</v>
      </c>
    </row>
    <row r="59" customFormat="false" ht="15" hidden="false" customHeight="false" outlineLevel="0" collapsed="false">
      <c r="A59" s="5" t="s">
        <v>119</v>
      </c>
      <c r="B59" s="5" t="s">
        <v>54</v>
      </c>
      <c r="C59" s="5" t="s">
        <v>104</v>
      </c>
      <c r="D59" s="5" t="s">
        <v>57</v>
      </c>
      <c r="E59" s="5" t="n">
        <v>4246</v>
      </c>
      <c r="F59" s="5" t="n">
        <v>5189</v>
      </c>
      <c r="G59" s="5" t="n">
        <v>10794</v>
      </c>
      <c r="H59" s="5" t="n">
        <v>12227</v>
      </c>
      <c r="I59" s="5" t="n">
        <v>11678</v>
      </c>
      <c r="J59" s="5" t="n">
        <v>8029</v>
      </c>
      <c r="K59" s="5" t="n">
        <v>5542</v>
      </c>
      <c r="L59" s="5" t="n">
        <v>6545</v>
      </c>
      <c r="M59" s="5" t="n">
        <v>5576</v>
      </c>
      <c r="N59" s="5" t="n">
        <v>9260</v>
      </c>
      <c r="O59" s="5" t="n">
        <v>17258</v>
      </c>
      <c r="P59" s="5" t="n">
        <v>16642</v>
      </c>
      <c r="Q59" s="5" t="n">
        <v>411</v>
      </c>
    </row>
    <row r="60" customFormat="false" ht="15" hidden="false" customHeight="false" outlineLevel="0" collapsed="false">
      <c r="A60" s="5" t="s">
        <v>120</v>
      </c>
      <c r="B60" s="5" t="s">
        <v>94</v>
      </c>
      <c r="C60" s="5" t="s">
        <v>36</v>
      </c>
      <c r="D60" s="5" t="s">
        <v>60</v>
      </c>
      <c r="E60" s="5" t="n">
        <v>12920</v>
      </c>
      <c r="F60" s="5" t="n">
        <v>5831</v>
      </c>
      <c r="G60" s="5" t="n">
        <v>5002</v>
      </c>
      <c r="H60" s="5" t="n">
        <v>4492</v>
      </c>
      <c r="I60" s="5" t="n">
        <v>5525</v>
      </c>
      <c r="J60" s="5" t="n">
        <v>7666</v>
      </c>
      <c r="K60" s="5" t="n">
        <v>15369</v>
      </c>
      <c r="L60" s="5" t="n">
        <v>7610</v>
      </c>
      <c r="M60" s="5" t="n">
        <v>15676</v>
      </c>
      <c r="N60" s="5" t="n">
        <v>14315</v>
      </c>
      <c r="O60" s="5" t="n">
        <v>10566</v>
      </c>
      <c r="P60" s="5" t="n">
        <v>7958</v>
      </c>
      <c r="Q60" s="5" t="n">
        <v>343</v>
      </c>
    </row>
    <row r="61" customFormat="false" ht="15" hidden="false" customHeight="false" outlineLevel="0" collapsed="false">
      <c r="A61" s="5" t="s">
        <v>121</v>
      </c>
      <c r="B61" s="5" t="s">
        <v>35</v>
      </c>
      <c r="C61" s="5" t="s">
        <v>104</v>
      </c>
      <c r="D61" s="5" t="s">
        <v>37</v>
      </c>
      <c r="E61" s="5" t="n">
        <v>10150</v>
      </c>
      <c r="F61" s="5" t="n">
        <v>3777</v>
      </c>
      <c r="G61" s="5" t="n">
        <v>14681</v>
      </c>
      <c r="H61" s="5" t="n">
        <v>10659</v>
      </c>
      <c r="I61" s="5" t="n">
        <v>11251</v>
      </c>
      <c r="J61" s="5" t="n">
        <v>6273</v>
      </c>
      <c r="K61" s="5" t="n">
        <v>12938</v>
      </c>
      <c r="L61" s="5" t="n">
        <v>5562</v>
      </c>
      <c r="M61" s="5" t="n">
        <v>8617</v>
      </c>
      <c r="N61" s="5" t="n">
        <v>9670</v>
      </c>
      <c r="O61" s="5" t="n">
        <v>16793</v>
      </c>
      <c r="P61" s="5" t="n">
        <v>10900</v>
      </c>
      <c r="Q61" s="5" t="n">
        <v>194</v>
      </c>
    </row>
    <row r="62" customFormat="false" ht="15" hidden="false" customHeight="false" outlineLevel="0" collapsed="false">
      <c r="A62" s="5" t="s">
        <v>122</v>
      </c>
      <c r="B62" s="5" t="s">
        <v>35</v>
      </c>
      <c r="C62" s="5" t="s">
        <v>104</v>
      </c>
      <c r="D62" s="5" t="s">
        <v>41</v>
      </c>
      <c r="E62" s="5" t="n">
        <v>8854</v>
      </c>
      <c r="F62" s="5" t="n">
        <v>6747</v>
      </c>
      <c r="G62" s="5" t="n">
        <v>13423</v>
      </c>
      <c r="H62" s="5" t="n">
        <v>14606</v>
      </c>
      <c r="I62" s="5" t="n">
        <v>10720</v>
      </c>
      <c r="J62" s="5" t="n">
        <v>15178</v>
      </c>
      <c r="K62" s="5" t="n">
        <v>15880</v>
      </c>
      <c r="L62" s="5" t="n">
        <v>13799</v>
      </c>
      <c r="M62" s="5" t="n">
        <v>12854</v>
      </c>
      <c r="N62" s="5" t="n">
        <v>17964</v>
      </c>
      <c r="O62" s="5" t="n">
        <v>5447</v>
      </c>
      <c r="P62" s="5" t="n">
        <v>8856</v>
      </c>
      <c r="Q62" s="5" t="n">
        <v>334</v>
      </c>
    </row>
    <row r="63" customFormat="false" ht="15" hidden="false" customHeight="false" outlineLevel="0" collapsed="false">
      <c r="A63" s="5" t="s">
        <v>123</v>
      </c>
      <c r="B63" s="5" t="s">
        <v>51</v>
      </c>
      <c r="C63" s="5" t="s">
        <v>44</v>
      </c>
      <c r="D63" s="5" t="s">
        <v>45</v>
      </c>
      <c r="E63" s="5" t="n">
        <v>14686</v>
      </c>
      <c r="F63" s="5" t="n">
        <v>3706</v>
      </c>
      <c r="G63" s="5" t="n">
        <v>5936</v>
      </c>
      <c r="H63" s="5" t="n">
        <v>15673</v>
      </c>
      <c r="I63" s="5" t="n">
        <v>11518</v>
      </c>
      <c r="J63" s="5" t="n">
        <v>3997</v>
      </c>
      <c r="K63" s="5" t="n">
        <v>4616</v>
      </c>
      <c r="L63" s="5" t="n">
        <v>3626</v>
      </c>
      <c r="M63" s="5" t="n">
        <v>14174</v>
      </c>
      <c r="N63" s="5" t="n">
        <v>13176</v>
      </c>
      <c r="O63" s="5" t="n">
        <v>7595</v>
      </c>
      <c r="P63" s="5" t="n">
        <v>3101</v>
      </c>
      <c r="Q63" s="5" t="n">
        <v>88</v>
      </c>
    </row>
    <row r="64" customFormat="false" ht="15" hidden="false" customHeight="false" outlineLevel="0" collapsed="false">
      <c r="A64" s="5" t="s">
        <v>124</v>
      </c>
      <c r="B64" s="5" t="s">
        <v>84</v>
      </c>
      <c r="C64" s="5" t="s">
        <v>36</v>
      </c>
      <c r="D64" s="5" t="s">
        <v>49</v>
      </c>
      <c r="E64" s="5" t="n">
        <v>9281</v>
      </c>
      <c r="F64" s="5" t="n">
        <v>14543</v>
      </c>
      <c r="G64" s="5" t="n">
        <v>11669</v>
      </c>
      <c r="H64" s="5" t="n">
        <v>12284</v>
      </c>
      <c r="I64" s="5" t="n">
        <v>13542</v>
      </c>
      <c r="J64" s="5" t="n">
        <v>11290</v>
      </c>
      <c r="K64" s="5" t="n">
        <v>17680</v>
      </c>
      <c r="L64" s="5" t="n">
        <v>3397</v>
      </c>
      <c r="M64" s="5" t="n">
        <v>15752</v>
      </c>
      <c r="N64" s="5" t="n">
        <v>12905</v>
      </c>
      <c r="O64" s="5" t="n">
        <v>9701</v>
      </c>
      <c r="P64" s="5" t="n">
        <v>17790</v>
      </c>
      <c r="Q64" s="5" t="n">
        <v>197</v>
      </c>
    </row>
  </sheetData>
  <autoFilter ref="A4:Q6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8"/>
  </cols>
  <sheetData>
    <row r="1" customFormat="false" ht="15" hidden="false" customHeight="false" outlineLevel="0" collapsed="false">
      <c r="A1" s="4" t="s">
        <v>125</v>
      </c>
      <c r="B1" s="4" t="s">
        <v>126</v>
      </c>
    </row>
    <row r="2" customFormat="false" ht="15" hidden="false" customHeight="false" outlineLevel="0" collapsed="false">
      <c r="A2" s="5" t="s">
        <v>127</v>
      </c>
      <c r="B2" s="5" t="n">
        <f aca="false">COUNTA('Campaign Export'!A:A)-4</f>
        <v>59</v>
      </c>
    </row>
    <row r="3" customFormat="false" ht="15" hidden="false" customHeight="false" outlineLevel="0" collapsed="false">
      <c r="A3" s="5" t="s">
        <v>128</v>
      </c>
      <c r="B3" s="5" t="n">
        <f aca="false">SUM('Campaign Export'!E:P)</f>
        <v>7462681</v>
      </c>
    </row>
  </sheetData>
  <autoFilter ref="A1:B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2026-08-15T06:51:48Z</dcterms:created>
  <dc:creator>openpyxl</dc:creator>
  <dc:description/>
  <dc:language>en-SG</dc:language>
  <cp:lastModifiedBy/>
  <dcterms:modified xsi:type="dcterms:W3CDTF">2026-08-15T06:51:48Z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